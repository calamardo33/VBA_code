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ONE TIME USE\"/>
    </mc:Choice>
  </mc:AlternateContent>
  <bookViews>
    <workbookView xWindow="0" yWindow="0" windowWidth="28800" windowHeight="11535"/>
  </bookViews>
  <sheets>
    <sheet name="Main" sheetId="2" r:id="rId1"/>
    <sheet name="Data" sheetId="1" r:id="rId2"/>
  </sheets>
  <calcPr calcId="152511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<sst xmlns="http://schemas.openxmlformats.org/spreadsheetml/2006/main" count="252" uniqueCount="41">
  <si>
    <t>Company Code</t>
  </si>
  <si>
    <t>Action</t>
  </si>
  <si>
    <t>Due Date</t>
  </si>
  <si>
    <t>Posted on</t>
  </si>
  <si>
    <t>Document Number</t>
  </si>
  <si>
    <t>Vendor Name</t>
  </si>
  <si>
    <t>Reference</t>
  </si>
  <si>
    <t>Amount</t>
  </si>
  <si>
    <t>Currency</t>
  </si>
  <si>
    <t>Invoice Processor</t>
  </si>
  <si>
    <t>Work Center</t>
  </si>
  <si>
    <t>System</t>
  </si>
  <si>
    <t>/DTLCHECKROB</t>
  </si>
  <si>
    <t>Layout used</t>
  </si>
  <si>
    <t>Analysts included in EUP Layout</t>
  </si>
  <si>
    <t>Peer Review</t>
  </si>
  <si>
    <t>DTL_IP_PMIBU</t>
  </si>
  <si>
    <t>EUR</t>
  </si>
  <si>
    <t>NBINDIC</t>
  </si>
  <si>
    <t>CORE LABORATORIES SALES BV</t>
  </si>
  <si>
    <t>G9P</t>
  </si>
  <si>
    <t>Grand Total</t>
  </si>
  <si>
    <t>Number of Postings</t>
  </si>
  <si>
    <t>HAJIYEV</t>
  </si>
  <si>
    <t>DTL_IP_PMI</t>
  </si>
  <si>
    <t>USD</t>
  </si>
  <si>
    <t>ITS TESTING SERVICES UK LTD</t>
  </si>
  <si>
    <t>GBP</t>
  </si>
  <si>
    <t>SGS NORGE AS</t>
  </si>
  <si>
    <t>NOK</t>
  </si>
  <si>
    <t>CEAKDAG</t>
  </si>
  <si>
    <t>INSPECTORATE ANTWERP NV</t>
  </si>
  <si>
    <t>SGS FRANCE</t>
  </si>
  <si>
    <t>AMSPEC BV</t>
  </si>
  <si>
    <t>EUP</t>
  </si>
  <si>
    <t>SGS NORTH AMERICA INC</t>
  </si>
  <si>
    <t>AMSPEC LLC</t>
  </si>
  <si>
    <t>KNAGY10</t>
  </si>
  <si>
    <t>DTL_IP_PMIPR</t>
  </si>
  <si>
    <t>AMP</t>
  </si>
  <si>
    <t>Analyst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</si>
</sst>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6</xdr:row>
      <xdr:rowOff>19050</xdr:rowOff>
    </xdr:from>
    <xdr:to>
      <xdr:col>3</xdr:col>
      <xdr:colOff>581025</xdr:colOff>
      <xdr:row>10</xdr:row>
      <xdr:rowOff>28575</xdr:rowOff>
    </xdr:to>
    <xdr:sp macro="[0]!Main_Macro" textlink="">
      <xdr:nvSpPr>
        <xdr:cNvPr id="2" name="Rectangle 1"/>
        <xdr:cNvSpPr/>
      </xdr:nvSpPr>
      <xdr:spPr>
        <a:xfrm>
          <a:off x="371475" y="1247775"/>
          <a:ext cx="2038350" cy="771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RUN</a:t>
          </a:r>
          <a:r>
            <a:rPr lang="en-US" sz="2000" b="1"/>
            <a:t> </a:t>
          </a:r>
          <a:r>
            <a:rPr lang="en-US" sz="1800" b="1"/>
            <a:t>MACRO</a:t>
          </a:r>
          <a:endParaRPr lang="en-US" sz="2000" b="1"/>
        </a:p>
      </xdr:txBody>
    </xdr:sp>
    <xdr:clientData/>
  </xdr:twoCellAnchor>
  <xdr:twoCellAnchor>
    <xdr:from>
      <xdr:col>3</xdr:col>
      <xdr:colOff>1323975</xdr:colOff>
      <xdr:row>8</xdr:row>
      <xdr:rowOff>180975</xdr:rowOff>
    </xdr:from>
    <xdr:to>
      <xdr:col>7</xdr:col>
      <xdr:colOff>466726</xdr:colOff>
      <xdr:row>17</xdr:row>
      <xdr:rowOff>133350</xdr:rowOff>
    </xdr:to>
    <xdr:sp macro="" textlink="">
      <xdr:nvSpPr>
        <xdr:cNvPr id="3" name="TextBox 2"/>
        <xdr:cNvSpPr txBox="1"/>
      </xdr:nvSpPr>
      <xdr:spPr>
        <a:xfrm>
          <a:off x="3152775" y="1790700"/>
          <a:ext cx="4810126" cy="1666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	</a:t>
          </a:r>
          <a:r>
            <a:rPr lang="en-US" sz="1100" b="1"/>
            <a:t>INFO</a:t>
          </a:r>
          <a:r>
            <a:rPr lang="en-US" sz="1100" b="1" baseline="0"/>
            <a:t> &amp; BEST PRACTICES</a:t>
          </a:r>
          <a:endParaRPr lang="en-US" sz="1100" b="1"/>
        </a:p>
        <a:p>
          <a:r>
            <a:rPr lang="en-US" sz="1100" baseline="0"/>
            <a:t>-  Macro connects to all systems and downloads info from YMDTL.</a:t>
          </a:r>
        </a:p>
        <a:p>
          <a:endParaRPr lang="en-US" sz="1100" baseline="0"/>
        </a:p>
        <a:p>
          <a:r>
            <a:rPr lang="en-US" sz="1100" baseline="0"/>
            <a:t>- I recommend to run it closing all SAP windows.</a:t>
          </a:r>
        </a:p>
        <a:p>
          <a:endParaRPr lang="en-US" sz="1100" baseline="0"/>
        </a:p>
        <a:p>
          <a:r>
            <a:rPr lang="en-US" sz="1100" baseline="0"/>
            <a:t>- EUP Analysts should be updated when we have a new joiner or someone not in peer review anymore. Layout to be changed in EUP to include/exclude them (Ask Pablito)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pico, Pablo" refreshedDate="44383.61067141204" createdVersion="3" refreshedVersion="5" minRefreshableVersion="3" recordCount="38">
  <cacheSource type="worksheet">
    <worksheetSource ref="A1:L39" sheet="Data"/>
  </cacheSource>
  <cacheFields count="12">
    <cacheField name="System" numFmtId="0">
      <sharedItems count="3">
        <s v="EUP"/>
        <s v="G9P"/>
        <s v="AMP"/>
      </sharedItems>
    </cacheField>
    <cacheField name="Company Code" numFmtId="0">
      <sharedItems containsSemiMixedTypes="0" containsString="0" containsNumber="1" containsInteger="1" minValue="102" maxValue="4969"/>
    </cacheField>
    <cacheField name="Action" numFmtId="0">
      <sharedItems/>
    </cacheField>
    <cacheField name="Due Date" numFmtId="14">
      <sharedItems containsSemiMixedTypes="0" containsNonDate="0" containsDate="1" containsString="0" minDate="2021-07-06T00:00:00" maxDate="2021-08-30T00:00:00"/>
    </cacheField>
    <cacheField name="Posted on" numFmtId="14">
      <sharedItems containsSemiMixedTypes="0" containsNonDate="0" containsDate="1" containsString="0" minDate="2021-07-06T00:00:00" maxDate="2021-07-07T00:00:00"/>
    </cacheField>
    <cacheField name="Document Number" numFmtId="0">
      <sharedItems containsSemiMixedTypes="0" containsString="0" containsNumber="1" containsInteger="1" minValue="1900023251" maxValue="5102863593"/>
    </cacheField>
    <cacheField name="Vendor Name" numFmtId="0">
      <sharedItems/>
    </cacheField>
    <cacheField name="Reference" numFmtId="0">
      <sharedItems containsString="0" containsBlank="1" containsNumber="1" containsInteger="1" minValue="15107615" maxValue="180015175"/>
    </cacheField>
    <cacheField name="Amount" numFmtId="0">
      <sharedItems containsSemiMixedTypes="0" containsString="0" containsNumber="1" minValue="217.68" maxValue="18310.349999999999"/>
    </cacheField>
    <cacheField name="Currency" numFmtId="0">
      <sharedItems/>
    </cacheField>
    <cacheField name="Invoice Processor" numFmtId="0">
      <sharedItems/>
    </cacheField>
    <cacheField name="Work Cent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n v="4733"/>
    <s v="Peer Review"/>
    <d v="2021-07-06T00:00:00"/>
    <d v="2021-07-06T00:00:00"/>
    <n v="5100019825"/>
    <s v="CORE LABORATORIES SALES BV"/>
    <m/>
    <n v="445.9"/>
    <s v="EUR"/>
    <s v="HAJIYEV"/>
    <s v="DTL_IP_PMI"/>
  </r>
  <r>
    <x v="0"/>
    <n v="1742"/>
    <s v="Peer Review"/>
    <d v="2021-07-07T00:00:00"/>
    <d v="2021-07-06T00:00:00"/>
    <n v="5100551148"/>
    <s v="CORE LABORATORIES SALES BV"/>
    <m/>
    <n v="3436.26"/>
    <s v="USD"/>
    <s v="HAJIYEV"/>
    <s v="DTL_IP_PMI"/>
  </r>
  <r>
    <x v="0"/>
    <n v="4733"/>
    <s v="Peer Review"/>
    <d v="2021-07-07T00:00:00"/>
    <d v="2021-07-06T00:00:00"/>
    <n v="5100019826"/>
    <s v="ITS TESTING SERVICES UK LTD"/>
    <m/>
    <n v="501"/>
    <s v="GBP"/>
    <s v="HAJIYEV"/>
    <s v="DTL_IP_PMI"/>
  </r>
  <r>
    <x v="0"/>
    <n v="202"/>
    <s v="Peer Review"/>
    <d v="2021-07-07T00:00:00"/>
    <d v="2021-07-06T00:00:00"/>
    <n v="5100427754"/>
    <s v="CORE LABORATORIES SALES BV"/>
    <m/>
    <n v="2316"/>
    <s v="USD"/>
    <s v="HAJIYEV"/>
    <s v="DTL_IP_PMI"/>
  </r>
  <r>
    <x v="0"/>
    <n v="202"/>
    <s v="Peer Review"/>
    <d v="2021-07-08T00:00:00"/>
    <d v="2021-07-06T00:00:00"/>
    <n v="5100427758"/>
    <s v="SGS NORGE AS"/>
    <m/>
    <n v="18310.349999999999"/>
    <s v="NOK"/>
    <s v="HAJIYEV"/>
    <s v="DTL_IP_PMI"/>
  </r>
  <r>
    <x v="0"/>
    <n v="4583"/>
    <s v="Peer Review"/>
    <d v="2021-07-09T00:00:00"/>
    <d v="2021-07-06T00:00:00"/>
    <n v="5100001421"/>
    <s v="CORE LABORATORIES SALES BV"/>
    <m/>
    <n v="834.96"/>
    <s v="EUR"/>
    <s v="CEAKDAG"/>
    <s v="DTL_IP_PMI"/>
  </r>
  <r>
    <x v="0"/>
    <n v="4583"/>
    <s v="Peer Review"/>
    <d v="2021-07-09T00:00:00"/>
    <d v="2021-07-06T00:00:00"/>
    <n v="5100001425"/>
    <s v="CORE LABORATORIES SALES BV"/>
    <m/>
    <n v="2203.04"/>
    <s v="EUR"/>
    <s v="CEAKDAG"/>
    <s v="DTL_IP_PMI"/>
  </r>
  <r>
    <x v="0"/>
    <n v="4583"/>
    <s v="Peer Review"/>
    <d v="2021-07-09T00:00:00"/>
    <d v="2021-07-06T00:00:00"/>
    <n v="5100001423"/>
    <s v="CORE LABORATORIES SALES BV"/>
    <m/>
    <n v="2140.3200000000002"/>
    <s v="EUR"/>
    <s v="CEAKDAG"/>
    <s v="DTL_IP_PMI"/>
  </r>
  <r>
    <x v="0"/>
    <n v="4583"/>
    <s v="Peer Review"/>
    <d v="2021-07-09T00:00:00"/>
    <d v="2021-07-06T00:00:00"/>
    <n v="5100001426"/>
    <s v="CORE LABORATORIES SALES BV"/>
    <m/>
    <n v="2095.73"/>
    <s v="EUR"/>
    <s v="CEAKDAG"/>
    <s v="DTL_IP_PMI"/>
  </r>
  <r>
    <x v="0"/>
    <n v="4583"/>
    <s v="Peer Review"/>
    <d v="2021-07-09T00:00:00"/>
    <d v="2021-07-06T00:00:00"/>
    <n v="5100001420"/>
    <s v="CORE LABORATORIES SALES BV"/>
    <m/>
    <n v="1804.18"/>
    <s v="EUR"/>
    <s v="CEAKDAG"/>
    <s v="DTL_IP_PMI"/>
  </r>
  <r>
    <x v="0"/>
    <n v="4583"/>
    <s v="Peer Review"/>
    <d v="2021-07-09T00:00:00"/>
    <d v="2021-07-06T00:00:00"/>
    <n v="5100001422"/>
    <s v="CORE LABORATORIES SALES BV"/>
    <m/>
    <n v="607.44000000000005"/>
    <s v="EUR"/>
    <s v="CEAKDAG"/>
    <s v="DTL_IP_PMI"/>
  </r>
  <r>
    <x v="0"/>
    <n v="513"/>
    <s v="Peer Review"/>
    <d v="2021-07-09T00:00:00"/>
    <d v="2021-07-06T00:00:00"/>
    <n v="5100860100"/>
    <s v="INSPECTORATE ANTWERP NV"/>
    <m/>
    <n v="1567.5"/>
    <s v="EUR"/>
    <s v="CEAKDAG"/>
    <s v="DTL_IP_PMI"/>
  </r>
  <r>
    <x v="0"/>
    <n v="4583"/>
    <s v="Peer Review"/>
    <d v="2021-07-09T00:00:00"/>
    <d v="2021-07-06T00:00:00"/>
    <n v="5100001424"/>
    <s v="CORE LABORATORIES SALES BV"/>
    <m/>
    <n v="962.28"/>
    <s v="EUR"/>
    <s v="CEAKDAG"/>
    <s v="DTL_IP_PMI"/>
  </r>
  <r>
    <x v="0"/>
    <n v="202"/>
    <s v="Peer Review"/>
    <d v="2021-07-09T00:00:00"/>
    <d v="2021-07-06T00:00:00"/>
    <n v="5100427759"/>
    <s v="INSPECTORATE ANTWERP NV"/>
    <m/>
    <n v="1333.8"/>
    <s v="EUR"/>
    <s v="HAJIYEV"/>
    <s v="DTL_IP_PMI"/>
  </r>
  <r>
    <x v="0"/>
    <n v="513"/>
    <s v="Peer Review"/>
    <d v="2021-07-09T00:00:00"/>
    <d v="2021-07-06T00:00:00"/>
    <n v="5100860118"/>
    <s v="SGS FRANCE"/>
    <m/>
    <n v="1010.82"/>
    <s v="EUR"/>
    <s v="CEAKDAG"/>
    <s v="DTL_IP_PMI"/>
  </r>
  <r>
    <x v="0"/>
    <n v="4733"/>
    <s v="Peer Review"/>
    <d v="2021-07-09T00:00:00"/>
    <d v="2021-07-06T00:00:00"/>
    <n v="5100019827"/>
    <s v="AMSPEC BV"/>
    <m/>
    <n v="1929.75"/>
    <s v="EUR"/>
    <s v="HAJIYEV"/>
    <s v="DTL_IP_PMI"/>
  </r>
  <r>
    <x v="0"/>
    <n v="513"/>
    <s v="Peer Review"/>
    <d v="2021-07-09T00:00:00"/>
    <d v="2021-07-06T00:00:00"/>
    <n v="5100860120"/>
    <s v="SGS FRANCE"/>
    <m/>
    <n v="435.39"/>
    <s v="EUR"/>
    <s v="CEAKDAG"/>
    <s v="DTL_IP_PMI"/>
  </r>
  <r>
    <x v="0"/>
    <n v="513"/>
    <s v="Peer Review"/>
    <d v="2021-07-09T00:00:00"/>
    <d v="2021-07-06T00:00:00"/>
    <n v="5100860116"/>
    <s v="SGS FRANCE"/>
    <m/>
    <n v="217.68"/>
    <s v="EUR"/>
    <s v="CEAKDAG"/>
    <s v="DTL_IP_PMI"/>
  </r>
  <r>
    <x v="0"/>
    <n v="513"/>
    <s v="Peer Review"/>
    <d v="2021-07-09T00:00:00"/>
    <d v="2021-07-06T00:00:00"/>
    <n v="5100860117"/>
    <s v="SGS FRANCE"/>
    <m/>
    <n v="744.8"/>
    <s v="EUR"/>
    <s v="CEAKDAG"/>
    <s v="DTL_IP_PMI"/>
  </r>
  <r>
    <x v="0"/>
    <n v="513"/>
    <s v="Peer Review"/>
    <d v="2021-07-09T00:00:00"/>
    <d v="2021-07-06T00:00:00"/>
    <n v="5100860123"/>
    <s v="SGS FRANCE"/>
    <m/>
    <n v="821.79"/>
    <s v="EUR"/>
    <s v="CEAKDAG"/>
    <s v="DTL_IP_PMI"/>
  </r>
  <r>
    <x v="0"/>
    <n v="513"/>
    <s v="Peer Review"/>
    <d v="2021-07-09T00:00:00"/>
    <d v="2021-07-06T00:00:00"/>
    <n v="5100860126"/>
    <s v="SGS FRANCE"/>
    <m/>
    <n v="1373.73"/>
    <s v="EUR"/>
    <s v="CEAKDAG"/>
    <s v="DTL_IP_PMI"/>
  </r>
  <r>
    <x v="0"/>
    <n v="513"/>
    <s v="Peer Review"/>
    <d v="2021-07-09T00:00:00"/>
    <d v="2021-07-06T00:00:00"/>
    <n v="5100860129"/>
    <s v="SGS FRANCE"/>
    <m/>
    <n v="455.58"/>
    <s v="EUR"/>
    <s v="CEAKDAG"/>
    <s v="DTL_IP_PMI"/>
  </r>
  <r>
    <x v="0"/>
    <n v="513"/>
    <s v="Peer Review"/>
    <d v="2021-07-09T00:00:00"/>
    <d v="2021-07-06T00:00:00"/>
    <n v="5100860125"/>
    <s v="SGS FRANCE"/>
    <m/>
    <n v="1599.73"/>
    <s v="EUR"/>
    <s v="CEAKDAG"/>
    <s v="DTL_IP_PMI"/>
  </r>
  <r>
    <x v="0"/>
    <n v="513"/>
    <s v="Peer Review"/>
    <d v="2021-07-09T00:00:00"/>
    <d v="2021-07-06T00:00:00"/>
    <n v="5100860127"/>
    <s v="SGS FRANCE"/>
    <m/>
    <n v="1384.96"/>
    <s v="EUR"/>
    <s v="CEAKDAG"/>
    <s v="DTL_IP_PMI"/>
  </r>
  <r>
    <x v="0"/>
    <n v="513"/>
    <s v="Peer Review"/>
    <d v="2021-07-09T00:00:00"/>
    <d v="2021-07-06T00:00:00"/>
    <n v="5100860128"/>
    <s v="SGS FRANCE"/>
    <m/>
    <n v="699.83"/>
    <s v="EUR"/>
    <s v="CEAKDAG"/>
    <s v="DTL_IP_PMI"/>
  </r>
  <r>
    <x v="0"/>
    <n v="513"/>
    <s v="Peer Review"/>
    <d v="2021-07-09T00:00:00"/>
    <d v="2021-07-06T00:00:00"/>
    <n v="5100860130"/>
    <s v="SGS FRANCE"/>
    <m/>
    <n v="449.7"/>
    <s v="EUR"/>
    <s v="CEAKDAG"/>
    <s v="DTL_IP_PMI"/>
  </r>
  <r>
    <x v="0"/>
    <n v="513"/>
    <s v="Peer Review"/>
    <d v="2021-07-09T00:00:00"/>
    <d v="2021-07-06T00:00:00"/>
    <n v="5100860131"/>
    <s v="SGS FRANCE"/>
    <m/>
    <n v="1270.25"/>
    <s v="EUR"/>
    <s v="CEAKDAG"/>
    <s v="DTL_IP_PMI"/>
  </r>
  <r>
    <x v="1"/>
    <n v="102"/>
    <s v="Peer Review"/>
    <d v="2021-07-06T00:00:00"/>
    <d v="2021-07-06T00:00:00"/>
    <n v="1900023251"/>
    <s v="SGS NORTH AMERICA INC"/>
    <n v="15107615"/>
    <n v="267.94"/>
    <s v="USD"/>
    <s v="NBINDIC"/>
    <s v="DTL_IP_PMIBU"/>
  </r>
  <r>
    <x v="2"/>
    <n v="4969"/>
    <s v="Peer Review"/>
    <d v="2021-07-11T00:00:00"/>
    <d v="2021-07-06T00:00:00"/>
    <n v="5100005522"/>
    <s v="AMSPEC LLC"/>
    <n v="170022316"/>
    <n v="8400"/>
    <s v="USD"/>
    <s v="KNAGY10"/>
    <s v="DTL_IP_PMIPR"/>
  </r>
  <r>
    <x v="2"/>
    <n v="3862"/>
    <s v="Peer Review"/>
    <d v="2021-08-17T00:00:00"/>
    <d v="2021-07-06T00:00:00"/>
    <n v="5102863588"/>
    <s v="AMSPEC LLC"/>
    <n v="120080608"/>
    <n v="815.25"/>
    <s v="USD"/>
    <s v="KNAGY10"/>
    <s v="DTL_IP_PMIPR"/>
  </r>
  <r>
    <x v="2"/>
    <n v="3862"/>
    <s v="Peer Review"/>
    <d v="2021-08-17T00:00:00"/>
    <d v="2021-07-06T00:00:00"/>
    <n v="5102863591"/>
    <s v="AMSPEC LLC"/>
    <n v="120080595"/>
    <n v="3037.06"/>
    <s v="USD"/>
    <s v="KNAGY10"/>
    <s v="DTL_IP_PMIPR"/>
  </r>
  <r>
    <x v="2"/>
    <n v="3862"/>
    <s v="Peer Review"/>
    <d v="2021-08-23T00:00:00"/>
    <d v="2021-07-06T00:00:00"/>
    <n v="5102863589"/>
    <s v="AMSPEC LLC"/>
    <n v="116001478"/>
    <n v="1755.7"/>
    <s v="USD"/>
    <s v="KNAGY10"/>
    <s v="DTL_IP_PMIPR"/>
  </r>
  <r>
    <x v="2"/>
    <n v="3862"/>
    <s v="Peer Review"/>
    <d v="2021-08-24T00:00:00"/>
    <d v="2021-07-06T00:00:00"/>
    <n v="5102863587"/>
    <s v="AMSPEC LLC"/>
    <n v="120081131"/>
    <n v="2113.75"/>
    <s v="USD"/>
    <s v="KNAGY10"/>
    <s v="DTL_IP_PMIPR"/>
  </r>
  <r>
    <x v="2"/>
    <n v="3862"/>
    <s v="Peer Review"/>
    <d v="2021-08-29T00:00:00"/>
    <d v="2021-07-06T00:00:00"/>
    <n v="5102863585"/>
    <s v="AMSPEC LLC"/>
    <n v="110045445"/>
    <n v="5639.63"/>
    <s v="USD"/>
    <s v="KNAGY10"/>
    <s v="DTL_IP_PMIPR"/>
  </r>
  <r>
    <x v="2"/>
    <n v="3862"/>
    <s v="Peer Review"/>
    <d v="2021-08-29T00:00:00"/>
    <d v="2021-07-06T00:00:00"/>
    <n v="5102863590"/>
    <s v="AMSPEC LLC"/>
    <n v="128009020"/>
    <n v="475"/>
    <s v="USD"/>
    <s v="KNAGY10"/>
    <s v="DTL_IP_PMIPR"/>
  </r>
  <r>
    <x v="2"/>
    <n v="3862"/>
    <s v="Peer Review"/>
    <d v="2021-08-29T00:00:00"/>
    <d v="2021-07-06T00:00:00"/>
    <n v="5102863586"/>
    <s v="AMSPEC LLC"/>
    <n v="110045446"/>
    <n v="5639.63"/>
    <s v="USD"/>
    <s v="KNAGY10"/>
    <s v="DTL_IP_PMIPR"/>
  </r>
  <r>
    <x v="2"/>
    <n v="3862"/>
    <s v="Peer Review"/>
    <d v="2021-08-29T00:00:00"/>
    <d v="2021-07-06T00:00:00"/>
    <n v="5102863592"/>
    <s v="AMSPEC LLC"/>
    <n v="180015175"/>
    <n v="475.13"/>
    <s v="USD"/>
    <s v="KNAGY10"/>
    <s v="DTL_IP_PMIPR"/>
  </r>
  <r>
    <x v="2"/>
    <n v="3862"/>
    <s v="Peer Review"/>
    <d v="2021-08-29T00:00:00"/>
    <d v="2021-07-06T00:00:00"/>
    <n v="5102863593"/>
    <s v="AMSPEC LLC"/>
    <n v="180015173"/>
    <n v="550.13"/>
    <s v="USD"/>
    <s v="KNAGY10"/>
    <s v="DTL_IP_PMIP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 rowHeaderCaption="System">
  <location ref="G1:H5" firstHeaderRow="1" firstDataRow="1" firstDataCol="1"/>
  <pivotFields count="12">
    <pivotField axis="axisRow" showAll="0">
      <items count="4">
        <item x="2"/>
        <item x="0"/>
        <item x="1"/>
        <item t="default"/>
      </items>
    </pivotField>
    <pivotField showAll="0"/>
    <pivotField showAll="0"/>
    <pivotField numFmtId="14"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umber of Postings" fld="5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H5"/>
  <sheetViews>
    <sheetView tabSelected="1" workbookViewId="0">
      <selection activeCell="E7" sqref="E7"/>
    </sheetView>
  </sheetViews>
  <sheetFormatPr defaultRowHeight="15" x14ac:dyDescent="0.25"/>
  <cols>
    <col min="4" max="4" width="30.140625" customWidth="1"/>
    <col min="5" max="5" width="34.42578125" customWidth="1"/>
    <col min="7" max="7" width="11.28515625" customWidth="1"/>
    <col min="8" max="8" width="18.7109375" customWidth="1"/>
    <col min="9" max="10" width="4.5703125" customWidth="1"/>
    <col min="11" max="11" width="11.28515625" customWidth="1"/>
    <col min="12" max="12" width="28.7109375" bestFit="1" customWidth="1"/>
    <col min="13" max="13" width="36.85546875" bestFit="1" customWidth="1"/>
    <col min="14" max="14" width="11.28515625" bestFit="1" customWidth="1"/>
    <col min="15" max="15" width="23.28515625" bestFit="1" customWidth="1"/>
    <col min="16" max="16" width="11.28515625" bestFit="1" customWidth="1"/>
  </cols>
  <sheetData>
    <row r="1" spans="4:8" ht="21.75" customHeight="1" x14ac:dyDescent="0.25">
      <c r="D1" s="6" t="s">
        <v>13</v>
      </c>
      <c r="E1" s="6" t="s">
        <v>14</v>
      </c>
      <c r="G1" s="8" t="s">
        <v>11</v>
      </c>
      <c r="H1" t="s">
        <v>22</v>
      </c>
    </row>
    <row r="2" spans="4:8" x14ac:dyDescent="0.25">
      <c r="D2" s="1" t="s">
        <v>12</v>
      </c>
      <c r="E2" s="1" t="s">
        <v>40</v>
      </c>
      <c r="G2" s="9" t="s">
        <v>39</v>
      </c>
      <c r="H2" s="7">
        <v>10</v>
      </c>
    </row>
    <row r="3" spans="4:8" x14ac:dyDescent="0.25">
      <c r="E3" s="1" t="s">
        <v>40</v>
      </c>
      <c r="G3" s="9" t="s">
        <v>34</v>
      </c>
      <c r="H3" s="7">
        <v>27</v>
      </c>
    </row>
    <row r="4" spans="4:8" x14ac:dyDescent="0.25">
      <c r="E4" s="1" t="s">
        <v>40</v>
      </c>
      <c r="G4" s="9" t="s">
        <v>20</v>
      </c>
      <c r="H4" s="7">
        <v>1</v>
      </c>
    </row>
    <row r="5" spans="4:8" x14ac:dyDescent="0.25">
      <c r="G5" s="9" t="s">
        <v>21</v>
      </c>
      <c r="H5" s="7">
        <v>38</v>
      </c>
    </row>
  </sheetData>
  <pageMargins left="0.7" right="0.7" top="0.75" bottom="0.75" header="0.3" footer="0.3"/>
  <pageSetup orientation="portrait" r:id="rId2"/>
  <customProperties>
    <customPr name="EpmWorksheetKeyString_GUID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9"/>
  <sheetViews>
    <sheetView workbookViewId="0">
      <selection activeCell="G10" sqref="G10"/>
    </sheetView>
  </sheetViews>
  <sheetFormatPr defaultRowHeight="15" x14ac:dyDescent="0.25"/>
  <cols>
    <col min="1" max="1" width="9.140625" style="1"/>
    <col min="2" max="2" width="14.42578125" style="1" bestFit="1" customWidth="1"/>
    <col min="3" max="3" width="15.85546875" style="1" customWidth="1"/>
    <col min="4" max="5" width="14.42578125" style="1" customWidth="1"/>
    <col min="6" max="6" width="17.140625" style="1" customWidth="1"/>
    <col min="7" max="7" width="18.85546875" style="1" customWidth="1"/>
    <col min="8" max="8" width="13.7109375" style="1" customWidth="1"/>
    <col min="9" max="9" width="11.85546875" style="1" customWidth="1"/>
    <col min="10" max="10" width="8.85546875" style="1" bestFit="1" customWidth="1"/>
    <col min="11" max="11" width="16.5703125" style="1" bestFit="1" customWidth="1"/>
    <col min="12" max="12" width="19.140625" style="1" customWidth="1"/>
  </cols>
  <sheetData>
    <row r="1" spans="1:12" s="5" customFormat="1" ht="25.5" customHeight="1" x14ac:dyDescent="0.25">
      <c r="A1" s="4" t="s">
        <v>11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</row>
    <row r="2" spans="1:12" x14ac:dyDescent="0.25">
      <c r="A2" s="1" t="s">
        <v>34</v>
      </c>
      <c r="B2" s="1">
        <v>4733</v>
      </c>
      <c r="C2" s="1" t="s">
        <v>15</v>
      </c>
      <c r="D2" s="2">
        <v>44383</v>
      </c>
      <c r="E2" s="2">
        <v>44383</v>
      </c>
      <c r="F2" s="1">
        <v>5100019825</v>
      </c>
      <c r="G2" s="9" t="s">
        <v>19</v>
      </c>
      <c r="I2" s="3">
        <v>445.9</v>
      </c>
      <c r="J2" s="1" t="s">
        <v>17</v>
      </c>
      <c r="K2" s="1" t="s">
        <v>23</v>
      </c>
      <c r="L2" s="1" t="s">
        <v>24</v>
      </c>
    </row>
    <row r="3" spans="1:12" x14ac:dyDescent="0.25">
      <c r="A3" s="1" t="s">
        <v>34</v>
      </c>
      <c r="B3" s="1">
        <v>1742</v>
      </c>
      <c r="C3" s="1" t="s">
        <v>15</v>
      </c>
      <c r="D3" s="2">
        <v>44384</v>
      </c>
      <c r="E3" s="2">
        <v>44383</v>
      </c>
      <c r="F3" s="1">
        <v>5100551148</v>
      </c>
      <c r="G3" s="9" t="s">
        <v>19</v>
      </c>
      <c r="I3" s="3">
        <v>3436.26</v>
      </c>
      <c r="J3" s="1" t="s">
        <v>25</v>
      </c>
      <c r="K3" s="1" t="s">
        <v>23</v>
      </c>
      <c r="L3" s="1" t="s">
        <v>24</v>
      </c>
    </row>
    <row r="4" spans="1:12" x14ac:dyDescent="0.25">
      <c r="A4" s="1" t="s">
        <v>34</v>
      </c>
      <c r="B4" s="1">
        <v>4733</v>
      </c>
      <c r="C4" s="1" t="s">
        <v>15</v>
      </c>
      <c r="D4" s="2">
        <v>44384</v>
      </c>
      <c r="E4" s="2">
        <v>44383</v>
      </c>
      <c r="F4" s="1">
        <v>5100019826</v>
      </c>
      <c r="G4" s="1" t="s">
        <v>26</v>
      </c>
      <c r="I4" s="3">
        <v>501</v>
      </c>
      <c r="J4" s="1" t="s">
        <v>27</v>
      </c>
      <c r="K4" s="1" t="s">
        <v>23</v>
      </c>
      <c r="L4" s="1" t="s">
        <v>24</v>
      </c>
    </row>
    <row r="5" spans="1:12" x14ac:dyDescent="0.25">
      <c r="A5" s="1" t="s">
        <v>34</v>
      </c>
      <c r="B5" s="1">
        <v>202</v>
      </c>
      <c r="C5" s="1" t="s">
        <v>15</v>
      </c>
      <c r="D5" s="2">
        <v>44384</v>
      </c>
      <c r="E5" s="2">
        <v>44383</v>
      </c>
      <c r="F5" s="1">
        <v>5100427754</v>
      </c>
      <c r="G5" s="1" t="s">
        <v>19</v>
      </c>
      <c r="I5" s="3">
        <v>2316</v>
      </c>
      <c r="J5" s="1" t="s">
        <v>25</v>
      </c>
      <c r="K5" s="1" t="s">
        <v>23</v>
      </c>
      <c r="L5" s="1" t="s">
        <v>24</v>
      </c>
    </row>
    <row r="6" spans="1:12" x14ac:dyDescent="0.25">
      <c r="A6" s="1" t="s">
        <v>34</v>
      </c>
      <c r="B6" s="1">
        <v>202</v>
      </c>
      <c r="C6" s="1" t="s">
        <v>15</v>
      </c>
      <c r="D6" s="2">
        <v>44385</v>
      </c>
      <c r="E6" s="2">
        <v>44383</v>
      </c>
      <c r="F6" s="1">
        <v>5100427758</v>
      </c>
      <c r="G6" s="1" t="s">
        <v>28</v>
      </c>
      <c r="I6" s="3">
        <v>18310.349999999999</v>
      </c>
      <c r="J6" s="1" t="s">
        <v>29</v>
      </c>
      <c r="K6" s="1" t="s">
        <v>23</v>
      </c>
      <c r="L6" s="1" t="s">
        <v>24</v>
      </c>
    </row>
    <row r="7" spans="1:12" x14ac:dyDescent="0.25">
      <c r="A7" s="1" t="s">
        <v>34</v>
      </c>
      <c r="B7" s="1">
        <v>4583</v>
      </c>
      <c r="C7" s="1" t="s">
        <v>15</v>
      </c>
      <c r="D7" s="2">
        <v>44386</v>
      </c>
      <c r="E7" s="2">
        <v>44383</v>
      </c>
      <c r="F7" s="1">
        <v>5100001421</v>
      </c>
      <c r="G7" s="1" t="s">
        <v>19</v>
      </c>
      <c r="I7" s="3">
        <v>834.96</v>
      </c>
      <c r="J7" s="1" t="s">
        <v>17</v>
      </c>
      <c r="K7" s="1" t="s">
        <v>30</v>
      </c>
      <c r="L7" s="1" t="s">
        <v>24</v>
      </c>
    </row>
    <row r="8" spans="1:12" x14ac:dyDescent="0.25">
      <c r="A8" s="1" t="s">
        <v>34</v>
      </c>
      <c r="B8" s="1">
        <v>4583</v>
      </c>
      <c r="C8" s="1" t="s">
        <v>15</v>
      </c>
      <c r="D8" s="2">
        <v>44386</v>
      </c>
      <c r="E8" s="2">
        <v>44383</v>
      </c>
      <c r="F8" s="1">
        <v>5100001425</v>
      </c>
      <c r="G8" s="2" t="s">
        <v>19</v>
      </c>
      <c r="I8" s="3">
        <v>2203.04</v>
      </c>
      <c r="J8" s="1" t="s">
        <v>17</v>
      </c>
      <c r="K8" s="3" t="s">
        <v>30</v>
      </c>
      <c r="L8" s="1" t="s">
        <v>24</v>
      </c>
    </row>
    <row r="9" spans="1:12" x14ac:dyDescent="0.25">
      <c r="A9" s="1" t="s">
        <v>34</v>
      </c>
      <c r="B9" s="1">
        <v>4583</v>
      </c>
      <c r="C9" s="1" t="s">
        <v>15</v>
      </c>
      <c r="D9" s="2">
        <v>44386</v>
      </c>
      <c r="E9" s="2">
        <v>44383</v>
      </c>
      <c r="F9" s="1">
        <v>5100001423</v>
      </c>
      <c r="G9" s="2" t="s">
        <v>19</v>
      </c>
      <c r="I9" s="3">
        <v>2140.3200000000002</v>
      </c>
      <c r="J9" s="1" t="s">
        <v>17</v>
      </c>
      <c r="K9" s="3" t="s">
        <v>30</v>
      </c>
      <c r="L9" s="1" t="s">
        <v>24</v>
      </c>
    </row>
    <row r="10" spans="1:12" x14ac:dyDescent="0.25">
      <c r="A10" s="1" t="s">
        <v>34</v>
      </c>
      <c r="B10" s="1">
        <v>4583</v>
      </c>
      <c r="C10" s="1" t="s">
        <v>15</v>
      </c>
      <c r="D10" s="2">
        <v>44386</v>
      </c>
      <c r="E10" s="2">
        <v>44383</v>
      </c>
      <c r="F10" s="1">
        <v>5100001426</v>
      </c>
      <c r="G10" s="2" t="s">
        <v>19</v>
      </c>
      <c r="I10" s="3">
        <v>2095.73</v>
      </c>
      <c r="J10" s="1" t="s">
        <v>17</v>
      </c>
      <c r="K10" s="3" t="s">
        <v>30</v>
      </c>
      <c r="L10" s="1" t="s">
        <v>24</v>
      </c>
    </row>
    <row r="11" spans="1:12" x14ac:dyDescent="0.25">
      <c r="A11" s="1" t="s">
        <v>34</v>
      </c>
      <c r="B11" s="1">
        <v>4583</v>
      </c>
      <c r="C11" s="1" t="s">
        <v>15</v>
      </c>
      <c r="D11" s="2">
        <v>44386</v>
      </c>
      <c r="E11" s="2">
        <v>44383</v>
      </c>
      <c r="F11" s="1">
        <v>5100001420</v>
      </c>
      <c r="G11" s="2" t="s">
        <v>19</v>
      </c>
      <c r="I11" s="3">
        <v>1804.18</v>
      </c>
      <c r="J11" s="1" t="s">
        <v>17</v>
      </c>
      <c r="K11" s="3" t="s">
        <v>30</v>
      </c>
      <c r="L11" s="1" t="s">
        <v>24</v>
      </c>
    </row>
    <row r="12" spans="1:12" x14ac:dyDescent="0.25">
      <c r="A12" s="1" t="s">
        <v>34</v>
      </c>
      <c r="B12" s="1">
        <v>4583</v>
      </c>
      <c r="C12" s="1" t="s">
        <v>15</v>
      </c>
      <c r="D12" s="2">
        <v>44386</v>
      </c>
      <c r="E12" s="2">
        <v>44383</v>
      </c>
      <c r="F12" s="1">
        <v>5100001422</v>
      </c>
      <c r="G12" s="2" t="s">
        <v>19</v>
      </c>
      <c r="I12" s="3">
        <v>607.44000000000005</v>
      </c>
      <c r="J12" s="1" t="s">
        <v>17</v>
      </c>
      <c r="K12" s="3" t="s">
        <v>30</v>
      </c>
      <c r="L12" s="1" t="s">
        <v>24</v>
      </c>
    </row>
    <row r="13" spans="1:12" x14ac:dyDescent="0.25">
      <c r="A13" s="1" t="s">
        <v>34</v>
      </c>
      <c r="B13" s="1">
        <v>513</v>
      </c>
      <c r="C13" s="1" t="s">
        <v>15</v>
      </c>
      <c r="D13" s="2">
        <v>44386</v>
      </c>
      <c r="E13" s="2">
        <v>44383</v>
      </c>
      <c r="F13" s="1">
        <v>5100860100</v>
      </c>
      <c r="G13" s="2" t="s">
        <v>31</v>
      </c>
      <c r="I13" s="3">
        <v>1567.5</v>
      </c>
      <c r="J13" s="1" t="s">
        <v>17</v>
      </c>
      <c r="K13" s="3" t="s">
        <v>30</v>
      </c>
      <c r="L13" s="1" t="s">
        <v>24</v>
      </c>
    </row>
    <row r="14" spans="1:12" x14ac:dyDescent="0.25">
      <c r="A14" s="1" t="s">
        <v>34</v>
      </c>
      <c r="B14" s="1">
        <v>4583</v>
      </c>
      <c r="C14" s="1" t="s">
        <v>15</v>
      </c>
      <c r="D14" s="2">
        <v>44386</v>
      </c>
      <c r="E14" s="2">
        <v>44383</v>
      </c>
      <c r="F14" s="1">
        <v>5100001424</v>
      </c>
      <c r="G14" s="2" t="s">
        <v>19</v>
      </c>
      <c r="I14" s="1">
        <v>962.28</v>
      </c>
      <c r="J14" s="1" t="s">
        <v>17</v>
      </c>
      <c r="K14" s="3" t="s">
        <v>30</v>
      </c>
      <c r="L14" s="1" t="s">
        <v>24</v>
      </c>
    </row>
    <row r="15" spans="1:12" x14ac:dyDescent="0.25">
      <c r="A15" s="1" t="s">
        <v>34</v>
      </c>
      <c r="B15" s="1">
        <v>202</v>
      </c>
      <c r="C15" s="1" t="s">
        <v>15</v>
      </c>
      <c r="D15" s="2">
        <v>44386</v>
      </c>
      <c r="E15" s="2">
        <v>44383</v>
      </c>
      <c r="F15" s="1">
        <v>5100427759</v>
      </c>
      <c r="G15" s="2" t="s">
        <v>31</v>
      </c>
      <c r="I15" s="3">
        <v>1333.8</v>
      </c>
      <c r="J15" s="1" t="s">
        <v>17</v>
      </c>
      <c r="K15" s="3" t="s">
        <v>23</v>
      </c>
      <c r="L15" s="1" t="s">
        <v>24</v>
      </c>
    </row>
    <row r="16" spans="1:12" x14ac:dyDescent="0.25">
      <c r="A16" s="1" t="s">
        <v>34</v>
      </c>
      <c r="B16" s="1">
        <v>513</v>
      </c>
      <c r="C16" s="1" t="s">
        <v>15</v>
      </c>
      <c r="D16" s="2">
        <v>44386</v>
      </c>
      <c r="E16" s="2">
        <v>44383</v>
      </c>
      <c r="F16" s="1">
        <v>5100860118</v>
      </c>
      <c r="G16" s="1" t="s">
        <v>32</v>
      </c>
      <c r="I16" s="3">
        <v>1010.82</v>
      </c>
      <c r="J16" s="1" t="s">
        <v>17</v>
      </c>
      <c r="K16" s="1" t="s">
        <v>30</v>
      </c>
      <c r="L16" s="1" t="s">
        <v>24</v>
      </c>
    </row>
    <row r="17" spans="1:12" x14ac:dyDescent="0.25">
      <c r="A17" s="1" t="s">
        <v>34</v>
      </c>
      <c r="B17" s="1">
        <v>4733</v>
      </c>
      <c r="C17" s="1" t="s">
        <v>15</v>
      </c>
      <c r="D17" s="2">
        <v>44386</v>
      </c>
      <c r="E17" s="2">
        <v>44383</v>
      </c>
      <c r="F17" s="1">
        <v>5100019827</v>
      </c>
      <c r="G17" s="1" t="s">
        <v>33</v>
      </c>
      <c r="I17" s="3">
        <v>1929.75</v>
      </c>
      <c r="J17" s="1" t="s">
        <v>17</v>
      </c>
      <c r="K17" s="1" t="s">
        <v>23</v>
      </c>
      <c r="L17" s="1" t="s">
        <v>24</v>
      </c>
    </row>
    <row r="18" spans="1:12" x14ac:dyDescent="0.25">
      <c r="A18" s="1" t="s">
        <v>34</v>
      </c>
      <c r="B18" s="1">
        <v>513</v>
      </c>
      <c r="C18" s="1" t="s">
        <v>15</v>
      </c>
      <c r="D18" s="2">
        <v>44386</v>
      </c>
      <c r="E18" s="2">
        <v>44383</v>
      </c>
      <c r="F18" s="1">
        <v>5100860120</v>
      </c>
      <c r="G18" s="1" t="s">
        <v>32</v>
      </c>
      <c r="I18" s="1">
        <v>435.39</v>
      </c>
      <c r="J18" s="1" t="s">
        <v>17</v>
      </c>
      <c r="K18" s="1" t="s">
        <v>30</v>
      </c>
      <c r="L18" s="1" t="s">
        <v>24</v>
      </c>
    </row>
    <row r="19" spans="1:12" x14ac:dyDescent="0.25">
      <c r="A19" s="1" t="s">
        <v>34</v>
      </c>
      <c r="B19" s="1">
        <v>513</v>
      </c>
      <c r="C19" s="1" t="s">
        <v>15</v>
      </c>
      <c r="D19" s="2">
        <v>44386</v>
      </c>
      <c r="E19" s="2">
        <v>44383</v>
      </c>
      <c r="F19" s="1">
        <v>5100860116</v>
      </c>
      <c r="G19" s="1" t="s">
        <v>32</v>
      </c>
      <c r="I19" s="1">
        <v>217.68</v>
      </c>
      <c r="J19" s="1" t="s">
        <v>17</v>
      </c>
      <c r="K19" s="1" t="s">
        <v>30</v>
      </c>
      <c r="L19" s="1" t="s">
        <v>24</v>
      </c>
    </row>
    <row r="20" spans="1:12" x14ac:dyDescent="0.25">
      <c r="A20" s="1" t="s">
        <v>34</v>
      </c>
      <c r="B20" s="1">
        <v>513</v>
      </c>
      <c r="C20" s="1" t="s">
        <v>15</v>
      </c>
      <c r="D20" s="2">
        <v>44386</v>
      </c>
      <c r="E20" s="2">
        <v>44383</v>
      </c>
      <c r="F20" s="1">
        <v>5100860117</v>
      </c>
      <c r="G20" s="1" t="s">
        <v>32</v>
      </c>
      <c r="I20" s="3">
        <v>744.8</v>
      </c>
      <c r="J20" s="1" t="s">
        <v>17</v>
      </c>
      <c r="K20" s="1" t="s">
        <v>30</v>
      </c>
      <c r="L20" s="1" t="s">
        <v>24</v>
      </c>
    </row>
    <row r="21" spans="1:12" x14ac:dyDescent="0.25">
      <c r="A21" s="1" t="s">
        <v>34</v>
      </c>
      <c r="B21" s="1">
        <v>513</v>
      </c>
      <c r="C21" s="1" t="s">
        <v>15</v>
      </c>
      <c r="D21" s="2">
        <v>44386</v>
      </c>
      <c r="E21" s="2">
        <v>44383</v>
      </c>
      <c r="F21" s="1">
        <v>5100860123</v>
      </c>
      <c r="G21" s="1" t="s">
        <v>32</v>
      </c>
      <c r="I21" s="3">
        <v>821.79</v>
      </c>
      <c r="J21" s="1" t="s">
        <v>17</v>
      </c>
      <c r="K21" s="1" t="s">
        <v>30</v>
      </c>
      <c r="L21" s="1" t="s">
        <v>24</v>
      </c>
    </row>
    <row r="22" spans="1:12" x14ac:dyDescent="0.25">
      <c r="A22" s="1" t="s">
        <v>34</v>
      </c>
      <c r="B22" s="1">
        <v>513</v>
      </c>
      <c r="C22" s="1" t="s">
        <v>15</v>
      </c>
      <c r="D22" s="2">
        <v>44386</v>
      </c>
      <c r="E22" s="2">
        <v>44383</v>
      </c>
      <c r="F22" s="1">
        <v>5100860126</v>
      </c>
      <c r="G22" s="1" t="s">
        <v>32</v>
      </c>
      <c r="I22" s="3">
        <v>1373.73</v>
      </c>
      <c r="J22" s="1" t="s">
        <v>17</v>
      </c>
      <c r="K22" s="1" t="s">
        <v>30</v>
      </c>
      <c r="L22" s="1" t="s">
        <v>24</v>
      </c>
    </row>
    <row r="23" spans="1:12" x14ac:dyDescent="0.25">
      <c r="A23" s="1" t="s">
        <v>34</v>
      </c>
      <c r="B23" s="1">
        <v>513</v>
      </c>
      <c r="C23" s="1" t="s">
        <v>15</v>
      </c>
      <c r="D23" s="2">
        <v>44386</v>
      </c>
      <c r="E23" s="2">
        <v>44383</v>
      </c>
      <c r="F23" s="1">
        <v>5100860129</v>
      </c>
      <c r="G23" s="1" t="s">
        <v>32</v>
      </c>
      <c r="I23" s="3">
        <v>455.58</v>
      </c>
      <c r="J23" s="1" t="s">
        <v>17</v>
      </c>
      <c r="K23" s="1" t="s">
        <v>30</v>
      </c>
      <c r="L23" s="1" t="s">
        <v>24</v>
      </c>
    </row>
    <row r="24" spans="1:12" x14ac:dyDescent="0.25">
      <c r="A24" s="1" t="s">
        <v>34</v>
      </c>
      <c r="B24" s="1">
        <v>513</v>
      </c>
      <c r="C24" s="1" t="s">
        <v>15</v>
      </c>
      <c r="D24" s="2">
        <v>44386</v>
      </c>
      <c r="E24" s="2">
        <v>44383</v>
      </c>
      <c r="F24" s="1">
        <v>5100860125</v>
      </c>
      <c r="G24" s="1" t="s">
        <v>32</v>
      </c>
      <c r="I24" s="3">
        <v>1599.73</v>
      </c>
      <c r="J24" s="1" t="s">
        <v>17</v>
      </c>
      <c r="K24" s="1" t="s">
        <v>30</v>
      </c>
      <c r="L24" s="1" t="s">
        <v>24</v>
      </c>
    </row>
    <row r="25" spans="1:12" x14ac:dyDescent="0.25">
      <c r="A25" s="1" t="s">
        <v>34</v>
      </c>
      <c r="B25" s="1">
        <v>513</v>
      </c>
      <c r="C25" s="1" t="s">
        <v>15</v>
      </c>
      <c r="D25" s="2">
        <v>44386</v>
      </c>
      <c r="E25" s="2">
        <v>44383</v>
      </c>
      <c r="F25" s="1">
        <v>5100860127</v>
      </c>
      <c r="G25" s="1" t="s">
        <v>32</v>
      </c>
      <c r="I25" s="3">
        <v>1384.96</v>
      </c>
      <c r="J25" s="1" t="s">
        <v>17</v>
      </c>
      <c r="K25" s="1" t="s">
        <v>30</v>
      </c>
      <c r="L25" s="1" t="s">
        <v>24</v>
      </c>
    </row>
    <row r="26" spans="1:12" x14ac:dyDescent="0.25">
      <c r="A26" s="1" t="s">
        <v>34</v>
      </c>
      <c r="B26" s="1">
        <v>513</v>
      </c>
      <c r="C26" s="1" t="s">
        <v>15</v>
      </c>
      <c r="D26" s="2">
        <v>44386</v>
      </c>
      <c r="E26" s="2">
        <v>44383</v>
      </c>
      <c r="F26" s="1">
        <v>5100860128</v>
      </c>
      <c r="G26" s="1" t="s">
        <v>32</v>
      </c>
      <c r="I26" s="3">
        <v>699.83</v>
      </c>
      <c r="J26" s="1" t="s">
        <v>17</v>
      </c>
      <c r="K26" s="1" t="s">
        <v>30</v>
      </c>
      <c r="L26" s="1" t="s">
        <v>24</v>
      </c>
    </row>
    <row r="27" spans="1:12" x14ac:dyDescent="0.25">
      <c r="A27" s="1" t="s">
        <v>34</v>
      </c>
      <c r="B27" s="1">
        <v>513</v>
      </c>
      <c r="C27" s="1" t="s">
        <v>15</v>
      </c>
      <c r="D27" s="2">
        <v>44386</v>
      </c>
      <c r="E27" s="2">
        <v>44383</v>
      </c>
      <c r="F27" s="1">
        <v>5100860130</v>
      </c>
      <c r="G27" s="1" t="s">
        <v>32</v>
      </c>
      <c r="I27" s="3">
        <v>449.7</v>
      </c>
      <c r="J27" s="1" t="s">
        <v>17</v>
      </c>
      <c r="K27" s="1" t="s">
        <v>30</v>
      </c>
      <c r="L27" s="1" t="s">
        <v>24</v>
      </c>
    </row>
    <row r="28" spans="1:12" x14ac:dyDescent="0.25">
      <c r="A28" s="1" t="s">
        <v>34</v>
      </c>
      <c r="B28" s="1">
        <v>513</v>
      </c>
      <c r="C28" s="1" t="s">
        <v>15</v>
      </c>
      <c r="D28" s="2">
        <v>44386</v>
      </c>
      <c r="E28" s="2">
        <v>44383</v>
      </c>
      <c r="F28" s="1">
        <v>5100860131</v>
      </c>
      <c r="G28" s="1" t="s">
        <v>32</v>
      </c>
      <c r="I28" s="3">
        <v>1270.25</v>
      </c>
      <c r="J28" s="1" t="s">
        <v>17</v>
      </c>
      <c r="K28" s="1" t="s">
        <v>30</v>
      </c>
      <c r="L28" s="1" t="s">
        <v>24</v>
      </c>
    </row>
    <row r="29" spans="1:12" x14ac:dyDescent="0.25">
      <c r="A29" s="1" t="s">
        <v>20</v>
      </c>
      <c r="B29" s="1">
        <v>102</v>
      </c>
      <c r="C29" s="1" t="s">
        <v>15</v>
      </c>
      <c r="D29" s="2">
        <v>44383</v>
      </c>
      <c r="E29" s="2">
        <v>44383</v>
      </c>
      <c r="F29" s="1">
        <v>1900023251</v>
      </c>
      <c r="G29" s="1" t="s">
        <v>35</v>
      </c>
      <c r="H29" s="1">
        <v>15107615</v>
      </c>
      <c r="I29" s="3">
        <v>267.94</v>
      </c>
      <c r="J29" s="1" t="s">
        <v>25</v>
      </c>
      <c r="K29" s="1" t="s">
        <v>18</v>
      </c>
      <c r="L29" s="1" t="s">
        <v>16</v>
      </c>
    </row>
    <row r="30" spans="1:12" x14ac:dyDescent="0.25">
      <c r="A30" s="1" t="s">
        <v>39</v>
      </c>
      <c r="B30" s="1">
        <v>4969</v>
      </c>
      <c r="C30" s="1" t="s">
        <v>15</v>
      </c>
      <c r="D30" s="2">
        <v>44388</v>
      </c>
      <c r="E30" s="2">
        <v>44383</v>
      </c>
      <c r="F30" s="1">
        <v>5100005522</v>
      </c>
      <c r="G30" s="1" t="s">
        <v>36</v>
      </c>
      <c r="H30" s="1">
        <v>170022316</v>
      </c>
      <c r="I30" s="3">
        <v>8400</v>
      </c>
      <c r="J30" s="1" t="s">
        <v>25</v>
      </c>
      <c r="K30" s="1" t="s">
        <v>37</v>
      </c>
      <c r="L30" s="1" t="s">
        <v>38</v>
      </c>
    </row>
    <row r="31" spans="1:12" x14ac:dyDescent="0.25">
      <c r="A31" s="1" t="s">
        <v>39</v>
      </c>
      <c r="B31" s="1">
        <v>3862</v>
      </c>
      <c r="C31" s="1" t="s">
        <v>15</v>
      </c>
      <c r="D31" s="2">
        <v>44425</v>
      </c>
      <c r="E31" s="2">
        <v>44383</v>
      </c>
      <c r="F31" s="1">
        <v>5102863588</v>
      </c>
      <c r="G31" s="1" t="s">
        <v>36</v>
      </c>
      <c r="H31" s="1">
        <v>120080608</v>
      </c>
      <c r="I31" s="3">
        <v>815.25</v>
      </c>
      <c r="J31" s="1" t="s">
        <v>25</v>
      </c>
      <c r="K31" s="1" t="s">
        <v>37</v>
      </c>
      <c r="L31" s="1" t="s">
        <v>38</v>
      </c>
    </row>
    <row r="32" spans="1:12" x14ac:dyDescent="0.25">
      <c r="A32" s="1" t="s">
        <v>39</v>
      </c>
      <c r="B32" s="1">
        <v>3862</v>
      </c>
      <c r="C32" s="1" t="s">
        <v>15</v>
      </c>
      <c r="D32" s="2">
        <v>44425</v>
      </c>
      <c r="E32" s="2">
        <v>44383</v>
      </c>
      <c r="F32" s="1">
        <v>5102863591</v>
      </c>
      <c r="G32" s="1" t="s">
        <v>36</v>
      </c>
      <c r="H32" s="1">
        <v>120080595</v>
      </c>
      <c r="I32" s="3">
        <v>3037.06</v>
      </c>
      <c r="J32" s="1" t="s">
        <v>25</v>
      </c>
      <c r="K32" s="1" t="s">
        <v>37</v>
      </c>
      <c r="L32" s="1" t="s">
        <v>38</v>
      </c>
    </row>
    <row r="33" spans="1:12" x14ac:dyDescent="0.25">
      <c r="A33" s="1" t="s">
        <v>39</v>
      </c>
      <c r="B33" s="1">
        <v>3862</v>
      </c>
      <c r="C33" s="1" t="s">
        <v>15</v>
      </c>
      <c r="D33" s="2">
        <v>44431</v>
      </c>
      <c r="E33" s="2">
        <v>44383</v>
      </c>
      <c r="F33" s="1">
        <v>5102863589</v>
      </c>
      <c r="G33" s="1" t="s">
        <v>36</v>
      </c>
      <c r="H33" s="1">
        <v>116001478</v>
      </c>
      <c r="I33" s="3">
        <v>1755.7</v>
      </c>
      <c r="J33" s="1" t="s">
        <v>25</v>
      </c>
      <c r="K33" s="1" t="s">
        <v>37</v>
      </c>
      <c r="L33" s="1" t="s">
        <v>38</v>
      </c>
    </row>
    <row r="34" spans="1:12" x14ac:dyDescent="0.25">
      <c r="A34" s="1" t="s">
        <v>39</v>
      </c>
      <c r="B34" s="1">
        <v>3862</v>
      </c>
      <c r="C34" s="1" t="s">
        <v>15</v>
      </c>
      <c r="D34" s="2">
        <v>44432</v>
      </c>
      <c r="E34" s="2">
        <v>44383</v>
      </c>
      <c r="F34" s="1">
        <v>5102863587</v>
      </c>
      <c r="G34" s="1" t="s">
        <v>36</v>
      </c>
      <c r="H34" s="1">
        <v>120081131</v>
      </c>
      <c r="I34" s="3">
        <v>2113.75</v>
      </c>
      <c r="J34" s="1" t="s">
        <v>25</v>
      </c>
      <c r="K34" s="1" t="s">
        <v>37</v>
      </c>
      <c r="L34" s="1" t="s">
        <v>38</v>
      </c>
    </row>
    <row r="35" spans="1:12" x14ac:dyDescent="0.25">
      <c r="A35" s="1" t="s">
        <v>39</v>
      </c>
      <c r="B35" s="1">
        <v>3862</v>
      </c>
      <c r="C35" s="1" t="s">
        <v>15</v>
      </c>
      <c r="D35" s="2">
        <v>44437</v>
      </c>
      <c r="E35" s="2">
        <v>44383</v>
      </c>
      <c r="F35" s="1">
        <v>5102863585</v>
      </c>
      <c r="G35" s="1" t="s">
        <v>36</v>
      </c>
      <c r="H35" s="1">
        <v>110045445</v>
      </c>
      <c r="I35" s="3">
        <v>5639.63</v>
      </c>
      <c r="J35" s="1" t="s">
        <v>25</v>
      </c>
      <c r="K35" s="1" t="s">
        <v>37</v>
      </c>
      <c r="L35" s="1" t="s">
        <v>38</v>
      </c>
    </row>
    <row r="36" spans="1:12" x14ac:dyDescent="0.25">
      <c r="A36" s="1" t="s">
        <v>39</v>
      </c>
      <c r="B36" s="1">
        <v>3862</v>
      </c>
      <c r="C36" s="1" t="s">
        <v>15</v>
      </c>
      <c r="D36" s="2">
        <v>44437</v>
      </c>
      <c r="E36" s="2">
        <v>44383</v>
      </c>
      <c r="F36" s="1">
        <v>5102863590</v>
      </c>
      <c r="G36" s="1" t="s">
        <v>36</v>
      </c>
      <c r="H36" s="1">
        <v>128009020</v>
      </c>
      <c r="I36" s="1">
        <v>475</v>
      </c>
      <c r="J36" s="1" t="s">
        <v>25</v>
      </c>
      <c r="K36" s="1" t="s">
        <v>37</v>
      </c>
      <c r="L36" s="1" t="s">
        <v>38</v>
      </c>
    </row>
    <row r="37" spans="1:12" x14ac:dyDescent="0.25">
      <c r="A37" s="1" t="s">
        <v>39</v>
      </c>
      <c r="B37" s="1">
        <v>3862</v>
      </c>
      <c r="C37" s="1" t="s">
        <v>15</v>
      </c>
      <c r="D37" s="2">
        <v>44437</v>
      </c>
      <c r="E37" s="2">
        <v>44383</v>
      </c>
      <c r="F37" s="1">
        <v>5102863586</v>
      </c>
      <c r="G37" s="1" t="s">
        <v>36</v>
      </c>
      <c r="H37" s="1">
        <v>110045446</v>
      </c>
      <c r="I37" s="3">
        <v>5639.63</v>
      </c>
      <c r="J37" s="1" t="s">
        <v>25</v>
      </c>
      <c r="K37" s="1" t="s">
        <v>37</v>
      </c>
      <c r="L37" s="1" t="s">
        <v>38</v>
      </c>
    </row>
    <row r="38" spans="1:12" x14ac:dyDescent="0.25">
      <c r="A38" s="1" t="s">
        <v>39</v>
      </c>
      <c r="B38" s="1">
        <v>3862</v>
      </c>
      <c r="C38" s="1" t="s">
        <v>15</v>
      </c>
      <c r="D38" s="2">
        <v>44437</v>
      </c>
      <c r="E38" s="2">
        <v>44383</v>
      </c>
      <c r="F38" s="1">
        <v>5102863592</v>
      </c>
      <c r="G38" s="1" t="s">
        <v>36</v>
      </c>
      <c r="H38" s="1">
        <v>180015175</v>
      </c>
      <c r="I38" s="1">
        <v>475.13</v>
      </c>
      <c r="J38" s="1" t="s">
        <v>25</v>
      </c>
      <c r="K38" s="1" t="s">
        <v>37</v>
      </c>
      <c r="L38" s="1" t="s">
        <v>38</v>
      </c>
    </row>
    <row r="39" spans="1:12" x14ac:dyDescent="0.25">
      <c r="A39" s="1" t="s">
        <v>39</v>
      </c>
      <c r="B39" s="1">
        <v>3862</v>
      </c>
      <c r="C39" s="1" t="s">
        <v>15</v>
      </c>
      <c r="D39" s="2">
        <v>44437</v>
      </c>
      <c r="E39" s="2">
        <v>44383</v>
      </c>
      <c r="F39" s="1">
        <v>5102863593</v>
      </c>
      <c r="G39" s="1" t="s">
        <v>36</v>
      </c>
      <c r="H39" s="1">
        <v>180015173</v>
      </c>
      <c r="I39" s="1">
        <v>550.13</v>
      </c>
      <c r="J39" s="1" t="s">
        <v>25</v>
      </c>
      <c r="K39" s="1" t="s">
        <v>37</v>
      </c>
      <c r="L39" s="1" t="s">
        <v>38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Zapico, Pablo</dc:creator>
  <cp:lastModifiedBy>Zapico, Pablo</cp:lastModifiedBy>
  <dcterms:created xsi:type="dcterms:W3CDTF">2021-06-18T07:55:52Z</dcterms:created>
  <dcterms:modified xsi:type="dcterms:W3CDTF">2022-02-25T14:19:14Z</dcterms:modified>
</cp:coreProperties>
</file>
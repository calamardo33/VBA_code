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zapico\Desktop\Code examples\"/>
    </mc:Choice>
  </mc:AlternateContent>
  <bookViews>
    <workbookView xWindow="0" yWindow="0" windowWidth="19200" windowHeight="8565"/>
  </bookViews>
  <sheets>
    <sheet name="Affiliates" sheetId="2" r:id="rId1"/>
    <sheet name="Run" sheetId="1" r:id="rId2"/>
    <sheet name="Header" sheetId="8" r:id="rId3"/>
    <sheet name="Data" sheetId="12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2" l="1"/>
  <c r="G8" i="12" l="1"/>
  <c r="H8" i="12" s="1"/>
  <c r="H3" i="12" l="1"/>
  <c r="G4" i="12" l="1"/>
  <c r="H4" i="12" s="1"/>
  <c r="G5" i="12" l="1"/>
  <c r="H5" i="12" s="1"/>
  <c r="G6" i="12" l="1"/>
  <c r="H6" i="12" s="1"/>
  <c r="G7" i="12" l="1"/>
  <c r="H7" i="12" s="1"/>
</calcChain>
</file>

<file path=xl/sharedStrings.xml><?xml version="1.0" encoding="utf-8"?>
<sst xmlns="http://schemas.openxmlformats.org/spreadsheetml/2006/main" count="224" uniqueCount="96">
  <si>
    <t>Invoice Number</t>
  </si>
  <si>
    <t>Submitted Date</t>
  </si>
  <si>
    <t>Vendor</t>
  </si>
  <si>
    <t>Business Group</t>
  </si>
  <si>
    <t>Invoice Date</t>
  </si>
  <si>
    <t>Due Date</t>
  </si>
  <si>
    <t>Due Within</t>
  </si>
  <si>
    <t>Responsible</t>
  </si>
  <si>
    <t>Business Groups</t>
  </si>
  <si>
    <t>Vendors</t>
  </si>
  <si>
    <t>Week start</t>
  </si>
  <si>
    <t>Week end</t>
  </si>
  <si>
    <t>1 week</t>
  </si>
  <si>
    <t>2 weeks</t>
  </si>
  <si>
    <t>3 weeks</t>
  </si>
  <si>
    <t>4 weeks</t>
  </si>
  <si>
    <t>5 weeks</t>
  </si>
  <si>
    <t>Company Code</t>
  </si>
  <si>
    <t>Column1</t>
  </si>
  <si>
    <t>Due within 3 days</t>
  </si>
  <si>
    <t>TBD</t>
  </si>
  <si>
    <t>Tomi</t>
  </si>
  <si>
    <t>Dominika</t>
  </si>
  <si>
    <t>Audrey</t>
  </si>
  <si>
    <t>Aynur</t>
  </si>
  <si>
    <t>Jonnathan</t>
  </si>
  <si>
    <t>Affiliate 1</t>
  </si>
  <si>
    <t>Affiliate 2</t>
  </si>
  <si>
    <t>Affiliate 3</t>
  </si>
  <si>
    <t>Affiliate 4</t>
  </si>
  <si>
    <t>Affiliate 5</t>
  </si>
  <si>
    <t>Affiliate 6</t>
  </si>
  <si>
    <t>Affiliate 7</t>
  </si>
  <si>
    <t>Affiliate 8</t>
  </si>
  <si>
    <t>Affiliate 9</t>
  </si>
  <si>
    <t>Affiliate 10</t>
  </si>
  <si>
    <t>Affiliate 11</t>
  </si>
  <si>
    <t>Affiliate 12</t>
  </si>
  <si>
    <t>Affiliate 13</t>
  </si>
  <si>
    <t>Affiliate 14</t>
  </si>
  <si>
    <t>Affiliate 15</t>
  </si>
  <si>
    <t>Affiliate 16</t>
  </si>
  <si>
    <t>Affiliate 17</t>
  </si>
  <si>
    <t>Affiliate 18</t>
  </si>
  <si>
    <t>Affiliate 19</t>
  </si>
  <si>
    <t>Affiliate 20</t>
  </si>
  <si>
    <t>Affiliate 21</t>
  </si>
  <si>
    <t>Affiliate 22</t>
  </si>
  <si>
    <t>Affiliate 23</t>
  </si>
  <si>
    <t>Affiliate 24</t>
  </si>
  <si>
    <t>Affiliate 25</t>
  </si>
  <si>
    <t>Affiliate 26</t>
  </si>
  <si>
    <t>Affiliate 27</t>
  </si>
  <si>
    <t>Affiliate 28</t>
  </si>
  <si>
    <t>Affiliate 29</t>
  </si>
  <si>
    <t>Affiliate 30</t>
  </si>
  <si>
    <t>Affiliate 31</t>
  </si>
  <si>
    <t>Affiliate 32</t>
  </si>
  <si>
    <t>Affiliate 33</t>
  </si>
  <si>
    <t>Affiliate 34</t>
  </si>
  <si>
    <t>Affiliate 35</t>
  </si>
  <si>
    <t>Affiliate 36</t>
  </si>
  <si>
    <t>Affiliate 37</t>
  </si>
  <si>
    <t>Affiliate 38</t>
  </si>
  <si>
    <t>Affiliate 39</t>
  </si>
  <si>
    <t>Affiliate 40</t>
  </si>
  <si>
    <t>Affiliate 41</t>
  </si>
  <si>
    <t>Affiliate 42</t>
  </si>
  <si>
    <t>Affiliate 43</t>
  </si>
  <si>
    <t>Affiliate 44</t>
  </si>
  <si>
    <t>Affiliate 45</t>
  </si>
  <si>
    <t>Affiliate 46</t>
  </si>
  <si>
    <t>Affiliate 47</t>
  </si>
  <si>
    <t>Affiliate 48</t>
  </si>
  <si>
    <t>Affiliate 49</t>
  </si>
  <si>
    <t>Affiliate 50</t>
  </si>
  <si>
    <t>Affiliate 51</t>
  </si>
  <si>
    <t>Due Date needed</t>
  </si>
  <si>
    <t>Vendor 1</t>
  </si>
  <si>
    <t>Vendor 2</t>
  </si>
  <si>
    <t>Vendor 3</t>
  </si>
  <si>
    <t>Vendor 4</t>
  </si>
  <si>
    <t>Vendor 5</t>
  </si>
  <si>
    <t>Vendor 6</t>
  </si>
  <si>
    <t>Vendor 7</t>
  </si>
  <si>
    <t>Vendor 8</t>
  </si>
  <si>
    <t>Vendor 9</t>
  </si>
  <si>
    <t>Vendor 10</t>
  </si>
  <si>
    <t>Vendor 11</t>
  </si>
  <si>
    <t>Vendor 12</t>
  </si>
  <si>
    <t>Vendor 13</t>
  </si>
  <si>
    <t>Vendor 14</t>
  </si>
  <si>
    <t>Vendor 15</t>
  </si>
  <si>
    <t>Vendor 16</t>
  </si>
  <si>
    <t>Vendor 17</t>
  </si>
  <si>
    <t>Recalculated later as per invoice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</si>
</sst>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theme="0"/>
      <name val="Calibri"/>
      <family val="2"/>
      <scheme val="minor"/>
    </font>
    <font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5B9BD5"/>
        <bgColor rgb="FF5B9BD5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rgb="FF9BC2E6"/>
      </left>
      <right/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 style="thin">
        <color rgb="FF9BC2E6"/>
      </right>
      <top style="thin">
        <color rgb="FF9BC2E6"/>
      </top>
      <bottom style="thin">
        <color rgb="FF9BC2E6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14" fontId="1" fillId="2" borderId="2" xfId="0" applyNumberFormat="1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14" fontId="0" fillId="0" borderId="0" xfId="0" applyNumberFormat="1"/>
    <xf numFmtId="0" fontId="0" fillId="0" borderId="0" xfId="0" applyBorder="1"/>
    <xf numFmtId="0" fontId="2" fillId="3" borderId="4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center"/>
    </xf>
    <xf numFmtId="49" fontId="0" fillId="0" borderId="5" xfId="0" applyNumberFormat="1" applyFont="1" applyBorder="1" applyAlignment="1">
      <alignment horizontal="left"/>
    </xf>
    <xf numFmtId="0" fontId="0" fillId="0" borderId="0" xfId="0" applyNumberFormat="1" applyAlignment="1"/>
    <xf numFmtId="0" fontId="0" fillId="0" borderId="6" xfId="0" applyNumberFormat="1" applyFont="1" applyBorder="1" applyAlignment="1"/>
    <xf numFmtId="0" fontId="0" fillId="0" borderId="0" xfId="0" applyNumberFormat="1" applyFont="1" applyBorder="1" applyAlignment="1"/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 style="thin">
          <color theme="4" tint="0.39997558519241921"/>
        </right>
        <top/>
        <bottom/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border outline="0">
        <left style="thin">
          <color theme="4" tint="0.39997558519241921"/>
        </left>
      </border>
    </dxf>
    <dxf>
      <numFmt numFmtId="19" formatCode="mm/dd/yyyy"/>
    </dxf>
    <dxf>
      <numFmt numFmtId="164" formatCode="dd/mm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0</xdr:row>
          <xdr:rowOff>152400</xdr:rowOff>
        </xdr:from>
        <xdr:to>
          <xdr:col>4</xdr:col>
          <xdr:colOff>180975</xdr:colOff>
          <xdr:row>6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Navarik 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43" displayName="Table43" ref="K2:M19" totalsRowShown="0">
  <autoFilter ref="K2:M19"/>
  <sortState ref="K3:L11">
    <sortCondition ref="K2:K11"/>
  </sortState>
  <tableColumns count="3">
    <tableColumn id="1" name="Vendors" dataDxfId="8"/>
    <tableColumn id="2" name="Due Date needed"/>
    <tableColumn id="3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54" displayName="Table54" ref="G2:I8" totalsRowShown="0">
  <autoFilter ref="G2:I8"/>
  <tableColumns count="3">
    <tableColumn id="1" name="Week start" dataDxfId="7"/>
    <tableColumn id="2" name="Week end" dataDxfId="6">
      <calculatedColumnFormula>Table54[[#This Row],[Week start]]+6</calculatedColumnFormula>
    </tableColumn>
    <tableColumn id="3" name="Due Withi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65" displayName="Table65" ref="B2:E47" totalsRowShown="0" tableBorderDxfId="5">
  <autoFilter ref="B2:E47"/>
  <tableColumns count="4">
    <tableColumn id="2" name="Business Groups" dataDxfId="4"/>
    <tableColumn id="1" name="Company Code" dataDxfId="3"/>
    <tableColumn id="3" name="Vendor" dataDxfId="2"/>
    <tableColumn id="4" name="Responsibl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customProperty" Target="../customProperty4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57"/>
  <sheetViews>
    <sheetView tabSelected="1" workbookViewId="0">
      <selection activeCell="H13" sqref="H13"/>
    </sheetView>
  </sheetViews>
  <sheetFormatPr defaultRowHeight="15" x14ac:dyDescent="0.25"/>
  <cols>
    <col min="1" max="1" width="64" bestFit="1" customWidth="1"/>
  </cols>
  <sheetData>
    <row r="1" spans="1:1" x14ac:dyDescent="0.25">
      <c r="A1" t="s">
        <v>26</v>
      </c>
    </row>
    <row r="2" spans="1:1" x14ac:dyDescent="0.25">
      <c r="A2" t="s">
        <v>27</v>
      </c>
    </row>
    <row r="3" spans="1:1" x14ac:dyDescent="0.25">
      <c r="A3" t="s">
        <v>28</v>
      </c>
    </row>
    <row r="4" spans="1:1" x14ac:dyDescent="0.25">
      <c r="A4" t="s">
        <v>29</v>
      </c>
    </row>
    <row r="5" spans="1:1" x14ac:dyDescent="0.25">
      <c r="A5" t="s">
        <v>30</v>
      </c>
    </row>
    <row r="6" spans="1:1" x14ac:dyDescent="0.25">
      <c r="A6" t="s">
        <v>31</v>
      </c>
    </row>
    <row r="7" spans="1:1" x14ac:dyDescent="0.25">
      <c r="A7" t="s">
        <v>32</v>
      </c>
    </row>
    <row r="8" spans="1:1" x14ac:dyDescent="0.25">
      <c r="A8" t="s">
        <v>33</v>
      </c>
    </row>
    <row r="9" spans="1:1" x14ac:dyDescent="0.25">
      <c r="A9" t="s">
        <v>34</v>
      </c>
    </row>
    <row r="10" spans="1:1" x14ac:dyDescent="0.25">
      <c r="A10" t="s">
        <v>35</v>
      </c>
    </row>
    <row r="11" spans="1:1" x14ac:dyDescent="0.25">
      <c r="A11" t="s">
        <v>36</v>
      </c>
    </row>
    <row r="12" spans="1:1" x14ac:dyDescent="0.25">
      <c r="A12" t="s">
        <v>37</v>
      </c>
    </row>
    <row r="13" spans="1:1" x14ac:dyDescent="0.25">
      <c r="A13" t="s">
        <v>38</v>
      </c>
    </row>
    <row r="14" spans="1:1" x14ac:dyDescent="0.25">
      <c r="A14" t="s">
        <v>39</v>
      </c>
    </row>
    <row r="15" spans="1:1" x14ac:dyDescent="0.25">
      <c r="A15" t="s">
        <v>40</v>
      </c>
    </row>
    <row r="16" spans="1:1" x14ac:dyDescent="0.25">
      <c r="A16" t="s">
        <v>41</v>
      </c>
    </row>
    <row r="17" spans="1:1" x14ac:dyDescent="0.25">
      <c r="A17" t="s">
        <v>42</v>
      </c>
    </row>
    <row r="18" spans="1:1" x14ac:dyDescent="0.25">
      <c r="A18" t="s">
        <v>43</v>
      </c>
    </row>
    <row r="19" spans="1:1" x14ac:dyDescent="0.25">
      <c r="A19" t="s">
        <v>44</v>
      </c>
    </row>
    <row r="20" spans="1:1" x14ac:dyDescent="0.25">
      <c r="A20" t="s">
        <v>45</v>
      </c>
    </row>
    <row r="21" spans="1:1" x14ac:dyDescent="0.25">
      <c r="A21" t="s">
        <v>46</v>
      </c>
    </row>
    <row r="22" spans="1:1" x14ac:dyDescent="0.25">
      <c r="A22" t="s">
        <v>47</v>
      </c>
    </row>
    <row r="23" spans="1:1" x14ac:dyDescent="0.25">
      <c r="A23" t="s">
        <v>48</v>
      </c>
    </row>
    <row r="24" spans="1:1" x14ac:dyDescent="0.25">
      <c r="A24" t="s">
        <v>49</v>
      </c>
    </row>
    <row r="25" spans="1:1" x14ac:dyDescent="0.25">
      <c r="A25" t="s">
        <v>50</v>
      </c>
    </row>
    <row r="26" spans="1:1" x14ac:dyDescent="0.25">
      <c r="A26" t="s">
        <v>51</v>
      </c>
    </row>
    <row r="27" spans="1:1" x14ac:dyDescent="0.25">
      <c r="A27" t="s">
        <v>52</v>
      </c>
    </row>
    <row r="28" spans="1:1" x14ac:dyDescent="0.25">
      <c r="A28" t="s">
        <v>53</v>
      </c>
    </row>
    <row r="29" spans="1:1" x14ac:dyDescent="0.25">
      <c r="A29" t="s">
        <v>54</v>
      </c>
    </row>
    <row r="30" spans="1:1" x14ac:dyDescent="0.25">
      <c r="A30" t="s">
        <v>55</v>
      </c>
    </row>
    <row r="31" spans="1:1" x14ac:dyDescent="0.25">
      <c r="A31" t="s">
        <v>56</v>
      </c>
    </row>
    <row r="32" spans="1:1" x14ac:dyDescent="0.25">
      <c r="A32" t="s">
        <v>57</v>
      </c>
    </row>
    <row r="33" spans="1:1" x14ac:dyDescent="0.25">
      <c r="A33" t="s">
        <v>58</v>
      </c>
    </row>
    <row r="34" spans="1:1" x14ac:dyDescent="0.25">
      <c r="A34" t="s">
        <v>59</v>
      </c>
    </row>
    <row r="35" spans="1:1" x14ac:dyDescent="0.25">
      <c r="A35" t="s">
        <v>60</v>
      </c>
    </row>
    <row r="36" spans="1:1" x14ac:dyDescent="0.25">
      <c r="A36" t="s">
        <v>61</v>
      </c>
    </row>
    <row r="37" spans="1:1" x14ac:dyDescent="0.25">
      <c r="A37" t="s">
        <v>62</v>
      </c>
    </row>
    <row r="38" spans="1:1" x14ac:dyDescent="0.25">
      <c r="A38" t="s">
        <v>63</v>
      </c>
    </row>
    <row r="39" spans="1:1" x14ac:dyDescent="0.25">
      <c r="A39" t="s">
        <v>64</v>
      </c>
    </row>
    <row r="40" spans="1:1" x14ac:dyDescent="0.25">
      <c r="A40" t="s">
        <v>65</v>
      </c>
    </row>
    <row r="41" spans="1:1" x14ac:dyDescent="0.25">
      <c r="A41" t="s">
        <v>66</v>
      </c>
    </row>
    <row r="42" spans="1:1" x14ac:dyDescent="0.25">
      <c r="A42" t="s">
        <v>67</v>
      </c>
    </row>
    <row r="43" spans="1:1" x14ac:dyDescent="0.25">
      <c r="A43" t="s">
        <v>68</v>
      </c>
    </row>
    <row r="44" spans="1:1" x14ac:dyDescent="0.25">
      <c r="A44" t="s">
        <v>69</v>
      </c>
    </row>
    <row r="45" spans="1:1" x14ac:dyDescent="0.25">
      <c r="A45" t="s">
        <v>70</v>
      </c>
    </row>
    <row r="46" spans="1:1" x14ac:dyDescent="0.25">
      <c r="A46" t="s">
        <v>71</v>
      </c>
    </row>
    <row r="47" spans="1:1" x14ac:dyDescent="0.25">
      <c r="A47" t="s">
        <v>72</v>
      </c>
    </row>
    <row r="48" spans="1:1" x14ac:dyDescent="0.25">
      <c r="A48" t="s">
        <v>73</v>
      </c>
    </row>
    <row r="49" spans="1:1" x14ac:dyDescent="0.25">
      <c r="A49" t="s">
        <v>74</v>
      </c>
    </row>
    <row r="50" spans="1:1" x14ac:dyDescent="0.25">
      <c r="A50" t="s">
        <v>75</v>
      </c>
    </row>
    <row r="51" spans="1:1" x14ac:dyDescent="0.25">
      <c r="A51" t="s">
        <v>76</v>
      </c>
    </row>
    <row r="57" spans="1:1" x14ac:dyDescent="0.25">
      <c r="A57" s="10"/>
    </row>
  </sheetData>
  <pageMargins left="0.7" right="0.7" top="0.75" bottom="0.75" header="0.3" footer="0.3"/>
  <customProperties>
    <customPr name="EpmWorksheetKeyString_GUID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F13" sqref="F13"/>
    </sheetView>
  </sheetViews>
  <sheetFormatPr defaultRowHeight="15" x14ac:dyDescent="0.25"/>
  <sheetData/>
  <pageMargins left="0.7" right="0.7" top="0.75" bottom="0.75" header="0.3" footer="0.3"/>
  <pageSetup paperSize="9" orientation="portrait" r:id="rId1"/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FetchReports">
                <anchor moveWithCells="1">
                  <from>
                    <xdr:col>0</xdr:col>
                    <xdr:colOff>523875</xdr:colOff>
                    <xdr:row>0</xdr:row>
                    <xdr:rowOff>152400</xdr:rowOff>
                  </from>
                  <to>
                    <xdr:col>4</xdr:col>
                    <xdr:colOff>180975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"/>
  <sheetViews>
    <sheetView workbookViewId="0">
      <pane ySplit="1" topLeftCell="A2" activePane="bottomLeft" state="frozen"/>
      <selection pane="bottomLeft" sqref="A1:I1"/>
    </sheetView>
  </sheetViews>
  <sheetFormatPr defaultRowHeight="15" x14ac:dyDescent="0.25"/>
  <cols>
    <col min="1" max="1" width="14.5703125" bestFit="1" customWidth="1"/>
    <col min="2" max="2" width="16" bestFit="1" customWidth="1"/>
    <col min="3" max="3" width="14.28515625" bestFit="1" customWidth="1"/>
    <col min="4" max="4" width="7.28515625" bestFit="1" customWidth="1"/>
    <col min="5" max="5" width="13.7109375" bestFit="1" customWidth="1"/>
    <col min="6" max="6" width="14" bestFit="1" customWidth="1"/>
    <col min="7" max="7" width="10.28515625" bestFit="1" customWidth="1"/>
    <col min="8" max="8" width="11" bestFit="1" customWidth="1"/>
    <col min="9" max="9" width="12.42578125" customWidth="1"/>
  </cols>
  <sheetData>
    <row r="1" spans="1:9" s="1" customFormat="1" x14ac:dyDescent="0.25">
      <c r="A1" s="8" t="s">
        <v>0</v>
      </c>
      <c r="B1" s="2" t="s">
        <v>4</v>
      </c>
      <c r="C1" s="2" t="s">
        <v>1</v>
      </c>
      <c r="D1" s="3" t="s">
        <v>2</v>
      </c>
      <c r="E1" s="3" t="s">
        <v>3</v>
      </c>
      <c r="F1" s="9" t="s">
        <v>17</v>
      </c>
      <c r="G1" s="2" t="s">
        <v>5</v>
      </c>
      <c r="H1" s="2" t="s">
        <v>6</v>
      </c>
      <c r="I1" s="4" t="s">
        <v>7</v>
      </c>
    </row>
  </sheetData>
  <conditionalFormatting sqref="A1">
    <cfRule type="duplicateValues" dxfId="0" priority="1"/>
  </conditionalFormatting>
  <pageMargins left="0.7" right="0.7" top="0.75" bottom="0.75" header="0.3" footer="0.3"/>
  <customProperties>
    <customPr name="EpmWorksheetKeyString_GU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M125"/>
  <sheetViews>
    <sheetView zoomScaleNormal="100" workbookViewId="0">
      <selection activeCell="M5" sqref="M5"/>
    </sheetView>
  </sheetViews>
  <sheetFormatPr defaultRowHeight="15" x14ac:dyDescent="0.25"/>
  <cols>
    <col min="1" max="1" width="5.5703125" customWidth="1"/>
    <col min="2" max="2" width="38.28515625" customWidth="1"/>
    <col min="3" max="3" width="20.7109375" style="1" customWidth="1"/>
    <col min="4" max="5" width="25.7109375" style="1" customWidth="1"/>
    <col min="6" max="6" width="5.7109375" customWidth="1"/>
    <col min="7" max="7" width="23.42578125" bestFit="1" customWidth="1"/>
    <col min="8" max="8" width="12.5703125" bestFit="1" customWidth="1"/>
    <col min="9" max="9" width="16.7109375" bestFit="1" customWidth="1"/>
    <col min="10" max="10" width="5.7109375" customWidth="1"/>
    <col min="11" max="11" width="23.42578125" bestFit="1" customWidth="1"/>
    <col min="12" max="12" width="15.7109375" customWidth="1"/>
  </cols>
  <sheetData>
    <row r="2" spans="2:13" x14ac:dyDescent="0.25">
      <c r="B2" s="7" t="s">
        <v>8</v>
      </c>
      <c r="C2" s="1" t="s">
        <v>17</v>
      </c>
      <c r="D2" s="1" t="s">
        <v>2</v>
      </c>
      <c r="E2" s="1" t="s">
        <v>7</v>
      </c>
      <c r="G2" t="s">
        <v>10</v>
      </c>
      <c r="H2" t="s">
        <v>11</v>
      </c>
      <c r="I2" t="s">
        <v>6</v>
      </c>
      <c r="K2" t="s">
        <v>9</v>
      </c>
      <c r="L2" t="s">
        <v>77</v>
      </c>
      <c r="M2" t="s">
        <v>18</v>
      </c>
    </row>
    <row r="3" spans="2:13" ht="15" customHeight="1" x14ac:dyDescent="0.25">
      <c r="B3" t="s">
        <v>26</v>
      </c>
      <c r="C3" s="11">
        <v>101</v>
      </c>
      <c r="D3" s="11" t="s">
        <v>78</v>
      </c>
      <c r="E3" s="11" t="s">
        <v>24</v>
      </c>
      <c r="G3" s="5">
        <f ca="1">TODAY()</f>
        <v>44613</v>
      </c>
      <c r="H3" s="5">
        <f ca="1">Table54[[#This Row],[Week start]]+6</f>
        <v>44619</v>
      </c>
      <c r="I3" t="s">
        <v>12</v>
      </c>
      <c r="K3" t="s">
        <v>78</v>
      </c>
      <c r="L3">
        <v>8</v>
      </c>
    </row>
    <row r="4" spans="2:13" ht="15" customHeight="1" x14ac:dyDescent="0.25">
      <c r="B4" t="s">
        <v>26</v>
      </c>
      <c r="C4" s="11">
        <v>101</v>
      </c>
      <c r="D4" s="11" t="s">
        <v>79</v>
      </c>
      <c r="E4" s="11" t="s">
        <v>24</v>
      </c>
      <c r="G4" s="5">
        <f ca="1">G3+7</f>
        <v>44620</v>
      </c>
      <c r="H4" s="5">
        <f ca="1">Table54[[#This Row],[Week start]]+6</f>
        <v>44626</v>
      </c>
      <c r="I4" t="s">
        <v>13</v>
      </c>
      <c r="K4" t="s">
        <v>79</v>
      </c>
      <c r="L4">
        <v>8</v>
      </c>
      <c r="M4" t="s">
        <v>95</v>
      </c>
    </row>
    <row r="5" spans="2:13" ht="15" customHeight="1" x14ac:dyDescent="0.25">
      <c r="B5" t="s">
        <v>26</v>
      </c>
      <c r="C5" s="11">
        <v>101</v>
      </c>
      <c r="D5" s="11" t="s">
        <v>80</v>
      </c>
      <c r="E5" s="11" t="s">
        <v>23</v>
      </c>
      <c r="G5" s="5">
        <f ca="1">G4+7</f>
        <v>44627</v>
      </c>
      <c r="H5" s="5">
        <f ca="1">Table54[[#This Row],[Week start]]+6</f>
        <v>44633</v>
      </c>
      <c r="I5" t="s">
        <v>14</v>
      </c>
      <c r="K5" t="s">
        <v>80</v>
      </c>
      <c r="L5" s="6">
        <v>8</v>
      </c>
    </row>
    <row r="6" spans="2:13" ht="15" customHeight="1" x14ac:dyDescent="0.25">
      <c r="B6" t="s">
        <v>26</v>
      </c>
      <c r="C6" s="11">
        <v>101</v>
      </c>
      <c r="D6" s="11" t="s">
        <v>81</v>
      </c>
      <c r="E6" s="11" t="s">
        <v>23</v>
      </c>
      <c r="G6" s="5">
        <f ca="1">G5+7</f>
        <v>44634</v>
      </c>
      <c r="H6" s="5">
        <f ca="1">Table54[[#This Row],[Week start]]+6</f>
        <v>44640</v>
      </c>
      <c r="I6" t="s">
        <v>15</v>
      </c>
      <c r="K6" t="s">
        <v>81</v>
      </c>
      <c r="L6">
        <v>8</v>
      </c>
    </row>
    <row r="7" spans="2:13" ht="15" customHeight="1" x14ac:dyDescent="0.25">
      <c r="B7" t="s">
        <v>26</v>
      </c>
      <c r="C7" s="11">
        <v>101</v>
      </c>
      <c r="D7" s="11" t="s">
        <v>82</v>
      </c>
      <c r="E7" s="11" t="s">
        <v>25</v>
      </c>
      <c r="G7" s="5">
        <f ca="1">G6+7</f>
        <v>44641</v>
      </c>
      <c r="H7" s="5">
        <f ca="1">Table54[[#This Row],[Week start]]+6</f>
        <v>44647</v>
      </c>
      <c r="I7" t="s">
        <v>16</v>
      </c>
      <c r="K7" t="s">
        <v>82</v>
      </c>
      <c r="L7">
        <v>8</v>
      </c>
    </row>
    <row r="8" spans="2:13" ht="15" customHeight="1" x14ac:dyDescent="0.25">
      <c r="B8" t="s">
        <v>26</v>
      </c>
      <c r="C8" s="11">
        <v>101</v>
      </c>
      <c r="D8" s="11" t="s">
        <v>83</v>
      </c>
      <c r="E8" s="11" t="s">
        <v>25</v>
      </c>
      <c r="G8" s="5">
        <f ca="1">+TODAY()</f>
        <v>44613</v>
      </c>
      <c r="H8" s="5">
        <f ca="1">Table54[[#This Row],[Week start]]+3</f>
        <v>44616</v>
      </c>
      <c r="I8" t="s">
        <v>19</v>
      </c>
      <c r="K8" t="s">
        <v>83</v>
      </c>
      <c r="L8">
        <v>8</v>
      </c>
    </row>
    <row r="9" spans="2:13" ht="15" customHeight="1" x14ac:dyDescent="0.25">
      <c r="B9" t="s">
        <v>26</v>
      </c>
      <c r="C9" s="11">
        <v>101</v>
      </c>
      <c r="D9" s="11" t="s">
        <v>84</v>
      </c>
      <c r="E9" s="11" t="s">
        <v>25</v>
      </c>
      <c r="K9" t="s">
        <v>84</v>
      </c>
      <c r="L9">
        <v>8</v>
      </c>
    </row>
    <row r="10" spans="2:13" ht="15" customHeight="1" x14ac:dyDescent="0.25">
      <c r="B10" t="s">
        <v>26</v>
      </c>
      <c r="C10" s="11">
        <v>101</v>
      </c>
      <c r="D10" s="11"/>
      <c r="E10" s="11" t="s">
        <v>21</v>
      </c>
      <c r="K10" t="s">
        <v>85</v>
      </c>
      <c r="L10" s="6">
        <v>28</v>
      </c>
    </row>
    <row r="11" spans="2:13" ht="15" customHeight="1" x14ac:dyDescent="0.25">
      <c r="B11" t="s">
        <v>27</v>
      </c>
      <c r="C11" s="11">
        <v>102</v>
      </c>
      <c r="D11" s="11" t="s">
        <v>85</v>
      </c>
      <c r="E11" s="11" t="s">
        <v>21</v>
      </c>
      <c r="K11" t="s">
        <v>86</v>
      </c>
      <c r="L11">
        <v>13</v>
      </c>
    </row>
    <row r="12" spans="2:13" ht="15" customHeight="1" x14ac:dyDescent="0.25">
      <c r="B12" t="s">
        <v>27</v>
      </c>
      <c r="C12" s="11">
        <v>102</v>
      </c>
      <c r="D12" s="11" t="s">
        <v>86</v>
      </c>
      <c r="E12" s="11" t="s">
        <v>22</v>
      </c>
      <c r="K12" t="s">
        <v>87</v>
      </c>
      <c r="L12">
        <v>28</v>
      </c>
    </row>
    <row r="13" spans="2:13" ht="15" customHeight="1" x14ac:dyDescent="0.25">
      <c r="B13" t="s">
        <v>27</v>
      </c>
      <c r="C13" s="11">
        <v>102</v>
      </c>
      <c r="D13" s="11" t="s">
        <v>87</v>
      </c>
      <c r="E13" s="11" t="s">
        <v>22</v>
      </c>
      <c r="K13" t="s">
        <v>88</v>
      </c>
      <c r="L13" s="6">
        <v>13</v>
      </c>
    </row>
    <row r="14" spans="2:13" ht="15" customHeight="1" x14ac:dyDescent="0.25">
      <c r="B14" t="s">
        <v>27</v>
      </c>
      <c r="C14" s="11">
        <v>102</v>
      </c>
      <c r="D14" s="11" t="s">
        <v>88</v>
      </c>
      <c r="E14" s="11" t="s">
        <v>22</v>
      </c>
      <c r="K14" t="s">
        <v>89</v>
      </c>
      <c r="L14" s="6">
        <v>28</v>
      </c>
    </row>
    <row r="15" spans="2:13" ht="15" customHeight="1" x14ac:dyDescent="0.25">
      <c r="B15" t="s">
        <v>27</v>
      </c>
      <c r="C15" s="11">
        <v>102</v>
      </c>
      <c r="D15" s="11" t="s">
        <v>89</v>
      </c>
      <c r="E15" s="11" t="s">
        <v>22</v>
      </c>
      <c r="K15" t="s">
        <v>90</v>
      </c>
      <c r="L15" s="6">
        <v>18</v>
      </c>
    </row>
    <row r="16" spans="2:13" ht="15" customHeight="1" x14ac:dyDescent="0.25">
      <c r="B16" t="s">
        <v>27</v>
      </c>
      <c r="C16" s="11">
        <v>102</v>
      </c>
      <c r="D16" s="11" t="s">
        <v>90</v>
      </c>
      <c r="E16" s="11" t="s">
        <v>24</v>
      </c>
      <c r="K16" t="s">
        <v>91</v>
      </c>
      <c r="L16" s="6">
        <v>13</v>
      </c>
    </row>
    <row r="17" spans="2:13" ht="15" customHeight="1" x14ac:dyDescent="0.25">
      <c r="B17" t="s">
        <v>27</v>
      </c>
      <c r="C17" s="11">
        <v>102</v>
      </c>
      <c r="D17" s="11" t="s">
        <v>91</v>
      </c>
      <c r="E17" s="11" t="s">
        <v>24</v>
      </c>
      <c r="K17" t="s">
        <v>92</v>
      </c>
      <c r="L17" s="6">
        <v>13</v>
      </c>
      <c r="M17" s="6"/>
    </row>
    <row r="18" spans="2:13" ht="15" customHeight="1" x14ac:dyDescent="0.25">
      <c r="B18" t="s">
        <v>27</v>
      </c>
      <c r="C18" s="11">
        <v>102</v>
      </c>
      <c r="D18" s="11"/>
      <c r="E18" s="11" t="s">
        <v>24</v>
      </c>
      <c r="K18" t="s">
        <v>93</v>
      </c>
      <c r="L18">
        <v>28</v>
      </c>
    </row>
    <row r="19" spans="2:13" ht="15" customHeight="1" x14ac:dyDescent="0.25">
      <c r="B19" t="s">
        <v>28</v>
      </c>
      <c r="C19" s="11">
        <v>103</v>
      </c>
      <c r="D19" s="11" t="s">
        <v>80</v>
      </c>
      <c r="E19" s="11" t="s">
        <v>24</v>
      </c>
      <c r="K19" t="s">
        <v>94</v>
      </c>
      <c r="L19">
        <v>28</v>
      </c>
    </row>
    <row r="20" spans="2:13" ht="15" customHeight="1" x14ac:dyDescent="0.25">
      <c r="B20" t="s">
        <v>28</v>
      </c>
      <c r="C20" s="11">
        <v>103</v>
      </c>
      <c r="D20" s="11" t="s">
        <v>81</v>
      </c>
      <c r="E20" s="11" t="s">
        <v>24</v>
      </c>
    </row>
    <row r="21" spans="2:13" ht="15" customHeight="1" x14ac:dyDescent="0.25">
      <c r="B21" t="s">
        <v>28</v>
      </c>
      <c r="C21" s="11">
        <v>103</v>
      </c>
      <c r="D21" s="11" t="s">
        <v>82</v>
      </c>
      <c r="E21" s="11" t="s">
        <v>21</v>
      </c>
    </row>
    <row r="22" spans="2:13" x14ac:dyDescent="0.25">
      <c r="B22" t="s">
        <v>28</v>
      </c>
      <c r="C22" s="11">
        <v>103</v>
      </c>
      <c r="D22" s="11" t="s">
        <v>83</v>
      </c>
      <c r="E22" s="11" t="s">
        <v>25</v>
      </c>
    </row>
    <row r="23" spans="2:13" ht="15" customHeight="1" x14ac:dyDescent="0.25">
      <c r="B23" t="s">
        <v>28</v>
      </c>
      <c r="C23" s="11">
        <v>103</v>
      </c>
      <c r="D23" s="11" t="s">
        <v>84</v>
      </c>
      <c r="E23" s="11" t="s">
        <v>22</v>
      </c>
    </row>
    <row r="24" spans="2:13" ht="15" customHeight="1" x14ac:dyDescent="0.25">
      <c r="B24" t="s">
        <v>28</v>
      </c>
      <c r="C24" s="11">
        <v>103</v>
      </c>
      <c r="D24" s="11"/>
      <c r="E24" s="11" t="s">
        <v>22</v>
      </c>
    </row>
    <row r="25" spans="2:13" ht="15" customHeight="1" x14ac:dyDescent="0.25">
      <c r="B25" t="s">
        <v>29</v>
      </c>
      <c r="C25" s="11">
        <v>104</v>
      </c>
      <c r="D25" s="11" t="s">
        <v>84</v>
      </c>
      <c r="E25" s="11" t="s">
        <v>25</v>
      </c>
    </row>
    <row r="26" spans="2:13" x14ac:dyDescent="0.25">
      <c r="B26" t="s">
        <v>29</v>
      </c>
      <c r="C26" s="11">
        <v>104</v>
      </c>
      <c r="D26" s="11" t="s">
        <v>85</v>
      </c>
      <c r="E26" s="11" t="s">
        <v>25</v>
      </c>
    </row>
    <row r="27" spans="2:13" ht="15" customHeight="1" x14ac:dyDescent="0.25">
      <c r="B27" t="s">
        <v>29</v>
      </c>
      <c r="C27" s="11">
        <v>104</v>
      </c>
      <c r="D27" s="11" t="s">
        <v>86</v>
      </c>
      <c r="E27" s="11" t="s">
        <v>25</v>
      </c>
    </row>
    <row r="28" spans="2:13" ht="15" customHeight="1" x14ac:dyDescent="0.25">
      <c r="B28" t="s">
        <v>29</v>
      </c>
      <c r="C28" s="11">
        <v>104</v>
      </c>
      <c r="D28" s="11" t="s">
        <v>87</v>
      </c>
      <c r="E28" s="11" t="s">
        <v>21</v>
      </c>
    </row>
    <row r="29" spans="2:13" ht="15" customHeight="1" x14ac:dyDescent="0.25">
      <c r="B29" t="s">
        <v>29</v>
      </c>
      <c r="C29" s="11">
        <v>104</v>
      </c>
      <c r="D29" s="11" t="s">
        <v>88</v>
      </c>
      <c r="E29" s="11" t="s">
        <v>23</v>
      </c>
    </row>
    <row r="30" spans="2:13" ht="15" customHeight="1" x14ac:dyDescent="0.25">
      <c r="B30" t="s">
        <v>29</v>
      </c>
      <c r="C30" s="11">
        <v>104</v>
      </c>
      <c r="D30" s="11" t="s">
        <v>89</v>
      </c>
      <c r="E30" s="11" t="s">
        <v>21</v>
      </c>
    </row>
    <row r="31" spans="2:13" x14ac:dyDescent="0.25">
      <c r="B31" t="s">
        <v>29</v>
      </c>
      <c r="C31" s="11">
        <v>104</v>
      </c>
      <c r="D31" s="11" t="s">
        <v>90</v>
      </c>
      <c r="E31" s="11" t="s">
        <v>25</v>
      </c>
    </row>
    <row r="32" spans="2:13" ht="15" customHeight="1" x14ac:dyDescent="0.25">
      <c r="B32" t="s">
        <v>29</v>
      </c>
      <c r="C32" s="11">
        <v>104</v>
      </c>
      <c r="D32" s="11" t="s">
        <v>91</v>
      </c>
      <c r="E32" s="11" t="s">
        <v>21</v>
      </c>
    </row>
    <row r="33" spans="2:5" ht="15" customHeight="1" x14ac:dyDescent="0.25">
      <c r="B33" t="s">
        <v>29</v>
      </c>
      <c r="C33" s="11">
        <v>104</v>
      </c>
      <c r="D33" s="11" t="s">
        <v>92</v>
      </c>
      <c r="E33" s="11" t="s">
        <v>24</v>
      </c>
    </row>
    <row r="34" spans="2:5" ht="15" customHeight="1" x14ac:dyDescent="0.25">
      <c r="B34" t="s">
        <v>29</v>
      </c>
      <c r="C34" s="11">
        <v>104</v>
      </c>
      <c r="D34" s="11"/>
      <c r="E34" s="11" t="s">
        <v>25</v>
      </c>
    </row>
    <row r="35" spans="2:5" ht="15" customHeight="1" x14ac:dyDescent="0.25">
      <c r="B35" t="s">
        <v>30</v>
      </c>
      <c r="C35" s="12">
        <v>105</v>
      </c>
      <c r="D35" s="6" t="s">
        <v>78</v>
      </c>
      <c r="E35" s="11" t="s">
        <v>22</v>
      </c>
    </row>
    <row r="36" spans="2:5" ht="15" customHeight="1" x14ac:dyDescent="0.25">
      <c r="B36" t="s">
        <v>30</v>
      </c>
      <c r="C36" s="12">
        <v>105</v>
      </c>
      <c r="D36" s="6" t="s">
        <v>79</v>
      </c>
      <c r="E36" s="11" t="s">
        <v>21</v>
      </c>
    </row>
    <row r="37" spans="2:5" ht="15" customHeight="1" x14ac:dyDescent="0.25">
      <c r="B37" t="s">
        <v>30</v>
      </c>
      <c r="C37" s="12">
        <v>105</v>
      </c>
      <c r="D37" s="6" t="s">
        <v>80</v>
      </c>
      <c r="E37" s="11" t="s">
        <v>23</v>
      </c>
    </row>
    <row r="38" spans="2:5" ht="15" customHeight="1" x14ac:dyDescent="0.25">
      <c r="B38" t="s">
        <v>30</v>
      </c>
      <c r="C38" s="12">
        <v>105</v>
      </c>
      <c r="D38" s="6" t="s">
        <v>81</v>
      </c>
      <c r="E38" s="11" t="s">
        <v>22</v>
      </c>
    </row>
    <row r="39" spans="2:5" ht="15" customHeight="1" x14ac:dyDescent="0.25">
      <c r="B39" t="s">
        <v>30</v>
      </c>
      <c r="C39" s="12">
        <v>105</v>
      </c>
      <c r="D39" s="6" t="s">
        <v>82</v>
      </c>
      <c r="E39" s="11" t="s">
        <v>21</v>
      </c>
    </row>
    <row r="40" spans="2:5" x14ac:dyDescent="0.25">
      <c r="B40" t="s">
        <v>30</v>
      </c>
      <c r="C40" s="12">
        <v>105</v>
      </c>
      <c r="D40" s="6" t="s">
        <v>83</v>
      </c>
      <c r="E40" s="11" t="s">
        <v>22</v>
      </c>
    </row>
    <row r="41" spans="2:5" ht="15" customHeight="1" x14ac:dyDescent="0.25">
      <c r="B41" t="s">
        <v>30</v>
      </c>
      <c r="C41" s="12">
        <v>105</v>
      </c>
      <c r="D41" s="6" t="s">
        <v>84</v>
      </c>
      <c r="E41" s="13" t="s">
        <v>20</v>
      </c>
    </row>
    <row r="42" spans="2:5" ht="15" customHeight="1" x14ac:dyDescent="0.25">
      <c r="B42" t="s">
        <v>30</v>
      </c>
      <c r="C42" s="12">
        <v>105</v>
      </c>
      <c r="D42" s="6" t="s">
        <v>85</v>
      </c>
      <c r="E42" s="13" t="s">
        <v>20</v>
      </c>
    </row>
    <row r="43" spans="2:5" ht="15" customHeight="1" x14ac:dyDescent="0.25">
      <c r="B43" t="s">
        <v>30</v>
      </c>
      <c r="C43" s="12">
        <v>105</v>
      </c>
      <c r="D43" s="6" t="s">
        <v>86</v>
      </c>
      <c r="E43" s="11" t="s">
        <v>25</v>
      </c>
    </row>
    <row r="44" spans="2:5" x14ac:dyDescent="0.25">
      <c r="B44" t="s">
        <v>30</v>
      </c>
      <c r="C44" s="12">
        <v>105</v>
      </c>
      <c r="D44" s="6" t="s">
        <v>87</v>
      </c>
      <c r="E44" s="11" t="s">
        <v>21</v>
      </c>
    </row>
    <row r="45" spans="2:5" ht="15" customHeight="1" x14ac:dyDescent="0.25">
      <c r="B45" t="s">
        <v>30</v>
      </c>
      <c r="C45" s="12">
        <v>105</v>
      </c>
      <c r="D45" s="6" t="s">
        <v>88</v>
      </c>
      <c r="E45" s="11" t="s">
        <v>25</v>
      </c>
    </row>
    <row r="46" spans="2:5" ht="15" customHeight="1" x14ac:dyDescent="0.25">
      <c r="B46" t="s">
        <v>30</v>
      </c>
      <c r="C46" s="12">
        <v>105</v>
      </c>
      <c r="D46" s="6" t="s">
        <v>89</v>
      </c>
      <c r="E46" s="11" t="s">
        <v>22</v>
      </c>
    </row>
    <row r="47" spans="2:5" ht="15" customHeight="1" x14ac:dyDescent="0.25">
      <c r="B47" t="s">
        <v>30</v>
      </c>
      <c r="C47" s="12">
        <v>105</v>
      </c>
      <c r="D47" s="11"/>
      <c r="E47" s="13" t="s">
        <v>20</v>
      </c>
    </row>
    <row r="48" spans="2:5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</sheetData>
  <pageMargins left="0.7" right="0.7" top="0.75" bottom="0.75" header="0.3" footer="0.3"/>
  <customProperties>
    <customPr name="EpmWorksheetKeyString_GUID" r:id="rId1"/>
  </customProperties>
  <ignoredErrors>
    <ignoredError sqref="H8" calculatedColumn="1"/>
  </ignoredErrors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Affiliates</vt:lpstr>
      <vt:lpstr>Run</vt:lpstr>
      <vt:lpstr>Header</vt:lpstr>
      <vt:lpstr>Data</vt:lpstr>
    </vt:vector>
  </TitlesOfParts>
  <Company>ExxonMobil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Baracsi, Nils</dc:creator>
  <cp:lastModifiedBy>Zapico, Pablo</cp:lastModifiedBy>
  <dcterms:created xsi:type="dcterms:W3CDTF">2019-03-23T13:45:43Z</dcterms:created>
  <dcterms:modified xsi:type="dcterms:W3CDTF">2022-02-21T21:43:15Z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1832748592</vt:i4>
  </property>
  <property fmtid="{D5CDD505-2E9C-101B-9397-08002B2CF9AE}" pid="3" name="_NewReviewCycle">
    <vt:lpwstr/>
  </property>
  <property fmtid="{D5CDD505-2E9C-101B-9397-08002B2CF9AE}" pid="4" name="_EmailSubject">
    <vt:lpwstr>Current robot Navarik</vt:lpwstr>
  </property>
  <property fmtid="{D5CDD505-2E9C-101B-9397-08002B2CF9AE}" pid="5" name="_AuthorEmail">
    <vt:lpwstr>tamas.sipos@exxonmobil.com</vt:lpwstr>
  </property>
  <property fmtid="{D5CDD505-2E9C-101B-9397-08002B2CF9AE}" pid="6" name="_AuthorEmailDisplayName">
    <vt:lpwstr>SIPOS, TAMÁS</vt:lpwstr>
  </property>
  <property fmtid="{D5CDD505-2E9C-101B-9397-08002B2CF9AE}" pid="7" name="_PreviousAdHocReviewCycleID">
    <vt:i4>-616446659</vt:i4>
  </property>
  <property fmtid="{D5CDD505-2E9C-101B-9397-08002B2CF9AE}" pid="8" name="_ReviewingToolsShownOnce">
    <vt:lpwstr/>
  </property>
</Properties>
</file>